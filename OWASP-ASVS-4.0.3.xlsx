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V1 Architecture, Design and Th" sheetId="2" r:id="rId2"/>
    <sheet name="V2 Authentication" sheetId="3" r:id="rId3"/>
    <sheet name="V3 Session Management" sheetId="4" r:id="rId4"/>
    <sheet name="V4 Access Control" sheetId="5" r:id="rId5"/>
    <sheet name="V5 Validation, Sanitization an" sheetId="6" r:id="rId6"/>
    <sheet name="V6 Stored Cryptography" sheetId="7" r:id="rId7"/>
    <sheet name="V7 Error Handling and Logging" sheetId="8" r:id="rId8"/>
    <sheet name="V8 Data Protection" sheetId="9" r:id="rId9"/>
    <sheet name="V9 Communication" sheetId="10" r:id="rId10"/>
    <sheet name="V10 Malicious Code" sheetId="11" r:id="rId11"/>
    <sheet name="V11 Business Logic" sheetId="12" r:id="rId12"/>
    <sheet name="V12 Files and Resources" sheetId="13" r:id="rId13"/>
    <sheet name="V13 API and Web Service" sheetId="14" r:id="rId14"/>
    <sheet name="V14 Configuration" sheetId="15" r:id="rId15"/>
  </sheets>
  <calcPr calcId="124519" fullCalcOnLoad="1"/>
</workbook>
</file>

<file path=xl/sharedStrings.xml><?xml version="1.0" encoding="utf-8"?>
<sst xmlns="http://schemas.openxmlformats.org/spreadsheetml/2006/main" count="1800" uniqueCount="677">
  <si>
    <t>Requirement ID</t>
  </si>
  <si>
    <t>Section</t>
  </si>
  <si>
    <t>Requirement</t>
  </si>
  <si>
    <t>Level 1</t>
  </si>
  <si>
    <t>Level 2</t>
  </si>
  <si>
    <t>Level 3</t>
  </si>
  <si>
    <t>Fulfilled</t>
  </si>
  <si>
    <t>Comment</t>
  </si>
  <si>
    <t>1.1.1</t>
  </si>
  <si>
    <t>Secure Software Development Lifecycle</t>
  </si>
  <si>
    <t>Verify the use of a secure software development lifecycle that addresses security in all stages of development. ([C1](https://owasp.org/www-project-proactive-controls/#div-numbering))</t>
  </si>
  <si>
    <t>✓</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</si>
  <si>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</si>
  <si>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</si>
  <si>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</si>
  <si>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</si>
  <si>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</si>
  <si>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</si>
  <si>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</si>
  <si>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Verify definition and security analysis of the application's high-level architecture and all connected remote services. ([C1](https://owasp.org/www-project-proactive-controls/#div-numbering))</t>
  </si>
  <si>
    <t>1.1.6</t>
  </si>
  <si>
    <t>Verify implementation of centralized, simple (economy of design), vetted, secure, and reusable security controls to avoid duplicate, missing, ineffective, or insecure controls. ([C10](https://owasp.org/www-project-proactive-controls/#div-numbering))</t>
  </si>
  <si>
    <t>1.1.7</t>
  </si>
  <si>
    <t>Verify availability of a secure coding checklist, security requirements, guideline, or policy to all developers and testers.</t>
  </si>
  <si>
    <t>1.2.1</t>
  </si>
  <si>
    <t>Authentication Architecture</t>
  </si>
  <si>
    <t>Verify the use of unique or special low-privilege operating system accounts for all application components, services, and servers. ([C3](https://owasp.org/www-project-proactive-controls/#div-numbering))</t>
  </si>
  <si>
    <t>1.2.2</t>
  </si>
  <si>
    <t>Verify that communications between application components, including APIs, middleware and data layers, are authenticated. Components should have the least necessary privileges needed. ([C3](https://owasp.org/www-project-proactive-controls/#div-numbering))</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</si>
  <si>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</si>
  <si>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</si>
  <si>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</si>
  <si>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</si>
  <si>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1.4.1</t>
  </si>
  <si>
    <t>Access Control Architecture</t>
  </si>
  <si>
    <t>Verify that trusted enforcement points, such as access control gateways, servers, and serverless functions, enforce access controls. Never enforce access controls on the client.</t>
  </si>
  <si>
    <t>1.4.2</t>
  </si>
  <si>
    <t>[DELETED, NOT ACTIONABLE]</t>
  </si>
  <si>
    <t>1.4.3</t>
  </si>
  <si>
    <t>[DELETED, DUPLICATE OF 4.1.3]</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</si>
  <si>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</si>
  <si>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</si>
  <si>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</si>
  <si>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</si>
  <si>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1.5.1</t>
  </si>
  <si>
    <t>Input and Output Architecture</t>
  </si>
  <si>
    <t>Verify that input and output requirements clearly define how to handle and process data based on type, content, and applicable laws, regulations, and other policy compliance.</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</si>
  <si>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</si>
  <si>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</si>
  <si>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</si>
  <si>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</si>
  <si>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1.5.4</t>
  </si>
  <si>
    <t>Verify that output encoding occurs close to or by the interpreter for which it is intended. ([C4](https://owasp.org/www-project-proactive-controls/#div-numbering))</t>
  </si>
  <si>
    <t>1.6.1</t>
  </si>
  <si>
    <t>Cryptographic Architecture</t>
  </si>
  <si>
    <t>Verify that there is an explicit policy for management of cryptographic keys and that a cryptographic key lifecycle follows a key management standard such as NIST SP 800-57.</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</si>
  <si>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</si>
  <si>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</si>
  <si>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</si>
  <si>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</si>
  <si>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1.6.4</t>
  </si>
  <si>
    <t>Verify that the architecture treats client-side secrets--such as symmetric keys, passwords, or API tokens--as insecure and never uses them to protect or access sensitive data.</t>
  </si>
  <si>
    <t>1.7.1</t>
  </si>
  <si>
    <t>Errors, Logging and Auditing Architecture</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</si>
  <si>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</si>
  <si>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</si>
  <si>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</si>
  <si>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1.8.1</t>
  </si>
  <si>
    <t>Data Protection and Privacy Architecture</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</si>
  <si>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</si>
  <si>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</si>
  <si>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</si>
  <si>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1.9.1</t>
  </si>
  <si>
    <t>Communications Architecture</t>
  </si>
  <si>
    <t>Verify the application encrypts communications between components, particularly when these components are in different containers, systems, sites, or cloud providers. ([C3](https://owasp.org/www-project-proactive-controls/#div-numbering))</t>
  </si>
  <si>
    <t>1.9.2</t>
  </si>
  <si>
    <t>Verify that application components verify the authenticity of each side in a communication link to prevent person-in-the-middle attacks. For example, application components should validate TLS certificates and chains.</t>
  </si>
  <si>
    <t>1.10.1</t>
  </si>
  <si>
    <t>Malicious Software Architecture</t>
  </si>
  <si>
    <t>Verify that a source code control system is in use, with procedures to ensure that check-ins are accompanied by issues or change tickets. The source code control system should have access control and identifiable users to allow traceability of any changes.</t>
  </si>
  <si>
    <t>1.11.1</t>
  </si>
  <si>
    <t>Business Logic Architecture</t>
  </si>
  <si>
    <t>Verify the definition and documentation of all application components in terms of the business or security functions they provide.</t>
  </si>
  <si>
    <t>1.11.2</t>
  </si>
  <si>
    <t>Verify that all high-value business logic flows, including authentication, session management and access control, do not share unsynchronized state.</t>
  </si>
  <si>
    <t>1.11.3</t>
  </si>
  <si>
    <t>Verify that all high-value business logic flows, including authentication, session management and access control are thread safe and resistant to time-of-check and time-of-use race conditions.</t>
  </si>
  <si>
    <t>1.12.1</t>
  </si>
  <si>
    <t>Secure File Upload Architecture</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</si>
  <si>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</si>
  <si>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</si>
  <si>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</si>
  <si>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1.14.1</t>
  </si>
  <si>
    <t>Configuration Architecture</t>
  </si>
  <si>
    <t>Verify the segregation of components of differing trust levels through well-defined security controls, firewall rules, API gateways, reverse proxies, cloud-based security groups, or similar mechanisms.</t>
  </si>
  <si>
    <t>1.14.2</t>
  </si>
  <si>
    <t>Verify that binary signatures, trusted connections, and verified endpoints are used to deploy binaries to remote devices.</t>
  </si>
  <si>
    <t>1.14.3</t>
  </si>
  <si>
    <t>Verify that the build pipeline warns of out-of-date or insecure components and takes appropriate actions.</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</si>
  <si>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</si>
  <si>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</si>
  <si>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</si>
  <si>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</si>
  <si>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</si>
  <si>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</si>
  <si>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2.1.1</t>
  </si>
  <si>
    <t>Password Security</t>
  </si>
  <si>
    <t>Verify that user set passwords are at least 12 characters in length (after multiple spaces are combined). ([C6](https://owasp.org/www-project-proactive-controls/#div-numbering))</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</si>
  <si>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</si>
  <si>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</si>
  <si>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</si>
  <si>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</si>
  <si>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2.1.4</t>
  </si>
  <si>
    <t>Verify that any printable Unicode character, including language neutral characters such as spaces and Emojis are permitted in passwords.</t>
  </si>
  <si>
    <t>2.1.5</t>
  </si>
  <si>
    <t>Verify users can change their password.</t>
  </si>
  <si>
    <t>2.1.6</t>
  </si>
  <si>
    <t>Verify that password change functionality requires the user's current and new password.</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</si>
  <si>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</si>
  <si>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</si>
  <si>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</si>
  <si>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</si>
  <si>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</si>
  <si>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</si>
  <si>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</si>
  <si>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</si>
  <si>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</si>
  <si>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</si>
  <si>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</si>
  <si>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</si>
  <si>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2.2.1</t>
  </si>
  <si>
    <t>General Authenticator Security</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</si>
  <si>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</si>
  <si>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</si>
  <si>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</si>
  <si>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</si>
  <si>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</si>
  <si>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</si>
  <si>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Verify impersonation resistance against phishing, such as the use of multi-factor authentication, cryptographic devices with intent (such as connected keys with a push to authenticate), or at higher AAL levels, client-side certificates.</t>
  </si>
  <si>
    <t>2.2.5</t>
  </si>
  <si>
    <t>Verify that where a Credential Service Provider (CSP) and the application verifying authentication are separated, mutually authenticated TLS is in place between the two endpoints.</t>
  </si>
  <si>
    <t>2.2.6</t>
  </si>
  <si>
    <t>Verify replay resistance through the mandated use of One-time Passwords (OTP) devices, cryptographic authenticators, or lookup codes.</t>
  </si>
  <si>
    <t>2.2.7</t>
  </si>
  <si>
    <t>Verify intent to authenticate by requiring the entry of an OTP token or user-initiated action such as a button press on a FIDO hardware key.</t>
  </si>
  <si>
    <t>2.3.1</t>
  </si>
  <si>
    <t>Authenticator Lifecycle</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</si>
  <si>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</si>
  <si>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</si>
  <si>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Verify that enrollment and use of user-provided authentication devices are supported, such as a U2F or FIDO tokens.</t>
  </si>
  <si>
    <t>2.3.3</t>
  </si>
  <si>
    <t>Verify that renewal instructions are sent with sufficient time to renew time bound authenticators.</t>
  </si>
  <si>
    <t>2.4.1</t>
  </si>
  <si>
    <t>Credential Storage</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</si>
  <si>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</si>
  <si>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</si>
  <si>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</si>
  <si>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</si>
  <si>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</si>
  <si>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</si>
  <si>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</si>
  <si>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</si>
  <si>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</si>
  <si>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2.5.1</t>
  </si>
  <si>
    <t>Credential Recovery</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</si>
  <si>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</si>
  <si>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</si>
  <si>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</si>
  <si>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</si>
  <si>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</si>
  <si>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</si>
  <si>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</si>
  <si>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</si>
  <si>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</si>
  <si>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</si>
  <si>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</si>
  <si>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</si>
  <si>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</si>
  <si>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2.6.1</t>
  </si>
  <si>
    <t>Look-up Secret Verifier</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</si>
  <si>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</si>
  <si>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</si>
  <si>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</si>
  <si>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</si>
  <si>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</si>
  <si>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2.7.1</t>
  </si>
  <si>
    <t>Out of Band Verifier</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</si>
  <si>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</si>
  <si>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</si>
  <si>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</si>
  <si>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</si>
  <si>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</si>
  <si>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</si>
  <si>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</si>
  <si>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</si>
  <si>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</si>
  <si>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</si>
  <si>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</si>
  <si>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2.8.1</t>
  </si>
  <si>
    <t>One Time Verifier</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</si>
  <si>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</si>
  <si>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</si>
  <si>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</si>
  <si>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</si>
  <si>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</si>
  <si>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</si>
  <si>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</si>
  <si>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</si>
  <si>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Verify that if a time-based multi-factor OTP token is re-used during the validity period, it is logged and rejected with secure notifications being sent to the holder of the device.</t>
  </si>
  <si>
    <t>2.8.6</t>
  </si>
  <si>
    <t>Verify physical single-factor OTP generator can be revoked in case of theft or other loss. Ensure that revocation is immediately effective across logged in sessions, regardless of location.</t>
  </si>
  <si>
    <t>2.8.7</t>
  </si>
  <si>
    <t>Verify that biometric authenticators are limited to use only as secondary factors in conjunction with either something you have and something you know.</t>
  </si>
  <si>
    <t>o</t>
  </si>
  <si>
    <t>2.9.1</t>
  </si>
  <si>
    <t>Cryptographic Verifier</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</si>
  <si>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</si>
  <si>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</si>
  <si>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</si>
  <si>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</si>
  <si>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</si>
  <si>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2.10.1</t>
  </si>
  <si>
    <t>Service Authentication</t>
  </si>
  <si>
    <t>Verify that intra-service secrets do not rely on unchanging credentials such as passwords, API keys or shared accounts with privileged access.</t>
  </si>
  <si>
    <t>OS assisted</t>
  </si>
  <si>
    <t>HSM</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</si>
  <si>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</si>
  <si>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</si>
  <si>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</si>
  <si>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</si>
  <si>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</si>
  <si>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</si>
  <si>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3.1.1</t>
  </si>
  <si>
    <t>Fundamental Session Management Security</t>
  </si>
  <si>
    <t>Verify the application never reveals session tokens in URL parameters.</t>
  </si>
  <si>
    <t>3.2.1</t>
  </si>
  <si>
    <t>Session Binding</t>
  </si>
  <si>
    <t>Verify the application generates a new session token on user authentication. ([C6](https://owasp.org/www-project-proactive-controls/#div-numbering))</t>
  </si>
  <si>
    <t>3.2.2</t>
  </si>
  <si>
    <t>Verify that session tokens possess at least 64 bits of entropy. ([C6](https://owasp.org/www-project-proactive-controls/#div-numbering))</t>
  </si>
  <si>
    <t>3.2.3</t>
  </si>
  <si>
    <t>Verify the application only stores session tokens in the browser using secure methods such as appropriately secured cookies (see section 3.4) or HTML 5 session storage.</t>
  </si>
  <si>
    <t>3.2.4</t>
  </si>
  <si>
    <t>Verify that session tokens are generated using approved cryptographic algorithms. ([C6](https://owasp.org/www-project-proactive-controls/#div-numbering))</t>
  </si>
  <si>
    <t>3.3.1</t>
  </si>
  <si>
    <t>Session Termination</t>
  </si>
  <si>
    <t>Verify that logout and expiration invalidate the session token, such that the back button or a downstream relying party does not resume an authenticated session, including across relying parties. ([C6](https://owasp.org/www-project-proactive-controls/#div-numbering))</t>
  </si>
  <si>
    <t>3.3.2</t>
  </si>
  <si>
    <t>If authenticators permit users to remain logged in, verify that re-authentication occurs periodically both when actively used or after an idle period. ([C6](https://owasp.org/www-project-proactive-controls/#div-numbering))</t>
  </si>
  <si>
    <t>30 days</t>
  </si>
  <si>
    <t>12 hours or 30 minutes of inactivity, 2FA optional</t>
  </si>
  <si>
    <t>12 hours or 15 minutes of inactivity, with 2FA</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</si>
  <si>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</si>
  <si>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</si>
  <si>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3.3.4</t>
  </si>
  <si>
    <t>Verify that users are able to view and (having re-entered login credentials) log out of any or all currently active sessions and devices.</t>
  </si>
  <si>
    <t>3.4.1</t>
  </si>
  <si>
    <t>Cookie-based Session Management</t>
  </si>
  <si>
    <t>Verify that cookie-based session tokens have the 'Secure' attribute set. ([C6](https://owasp.org/www-project-proactive-controls/#div-numbering))</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</si>
  <si>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</si>
  <si>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</si>
  <si>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</si>
  <si>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</si>
  <si>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3.4.4</t>
  </si>
  <si>
    <t>Verify that cookie-based session tokens use the "__Host-" prefix so cookies are only sent to the host that initially set the cookie.</t>
  </si>
  <si>
    <t>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</si>
  <si>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</si>
  <si>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3.5.1</t>
  </si>
  <si>
    <t>Token-based Session Management</t>
  </si>
  <si>
    <t>Verify the application allows users to revoke OAuth tokens that form trust relationships with linked applications.</t>
  </si>
  <si>
    <t>3.5.2</t>
  </si>
  <si>
    <t>Verify the application uses session tokens rather than static API secrets and keys, except with legacy implementations.</t>
  </si>
  <si>
    <t>3.5.3</t>
  </si>
  <si>
    <t>Verify that stateless session tokens use digital signatures, encryption, and other countermeasures to protect against tampering, enveloping, replay, null cipher, and key substitution attacks.</t>
  </si>
  <si>
    <t>3.6.1</t>
  </si>
  <si>
    <t>Federated Re-authentication</t>
  </si>
  <si>
    <t>Verify that Relying Parties (RPs) specify the maximum authentication time to Credential Service Providers (CSPs) and that CSPs re-authenticate the user if they haven't used a session within that period.</t>
  </si>
  <si>
    <t>3.6.2</t>
  </si>
  <si>
    <t>Verify that Credential Service Providers (CSPs) inform Relying Parties (RPs) of the last authentication event, to allow RPs to determine if they need to re-authenticate the user.</t>
  </si>
  <si>
    <t>3.7.1</t>
  </si>
  <si>
    <t>Defenses Against Session Management Exploits</t>
  </si>
  <si>
    <t>Verify the application ensures a full, valid login session or requires re-authentication or secondary verification before allowing any sensitive transactions or account modifications.</t>
  </si>
  <si>
    <t>4.1.1</t>
  </si>
  <si>
    <t>General Access Control Design</t>
  </si>
  <si>
    <t>Verify that the application enforces access control rules on a trusted service layer, especially if client-side access control is present and could be bypassed.</t>
  </si>
  <si>
    <t>4.1.2</t>
  </si>
  <si>
    <t>Verify that all user and data attributes and policy information used by access controls cannot be manipulated by end users unless specifically authorized.</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</si>
  <si>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</si>
  <si>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</si>
  <si>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4.1.4</t>
  </si>
  <si>
    <t>4.1.5</t>
  </si>
  <si>
    <t>Verify that access controls fail securely including when an exception occurs. ([C10](https://owasp.org/www-project-proactive-controls/#div-numbering))</t>
  </si>
  <si>
    <t>4.2.1</t>
  </si>
  <si>
    <t>Operation Level Access Control</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</si>
  <si>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</si>
  <si>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</si>
  <si>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</si>
  <si>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4.3.1</t>
  </si>
  <si>
    <t>Other Access Control Considerations</t>
  </si>
  <si>
    <t>Verify administrative interfaces use appropriate multi-factor authentication to prevent unauthorized use.</t>
  </si>
  <si>
    <t>4.3.2</t>
  </si>
  <si>
    <t>Verify that directory browsing is disabled unless deliberately desired. Additionally, applications should not allow discovery or disclosure of file or directory metadata, such as Thumbs.db, .DS_Store, .git or .svn folders.</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</si>
  <si>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</si>
  <si>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</si>
  <si>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5.1.1</t>
  </si>
  <si>
    <t>Input Validation</t>
  </si>
  <si>
    <t>Verify that the application has defenses against HTTP parameter pollution attacks, particularly if the application framework makes no distinction about the source of request parameters (GET, POST, cookies, headers, or environment variables).</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</si>
  <si>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</si>
  <si>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</si>
  <si>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5.1.3</t>
  </si>
  <si>
    <t>Verify that all input (HTML form fields, REST requests, URL parameters, HTTP headers, cookies, batch files, RSS feeds, etc) is validated using positive validation (allow lists). ([C5](https://owasp.org/www-project-proactive-controls/#div-numbering))</t>
  </si>
  <si>
    <t>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</si>
  <si>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</si>
  <si>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5.1.5</t>
  </si>
  <si>
    <t>Verify that URL redirects and forwards only allow destinations which appear on an allow list, or show a warning when redirecting to potentially untrusted content.</t>
  </si>
  <si>
    <t>5.2.1</t>
  </si>
  <si>
    <t>Sanitization and Sandboxing</t>
  </si>
  <si>
    <t>Verify that all untrusted HTML input from WYSIWYG editors or similar is properly sanitized with an HTML sanitizer library or framework feature. ([C5](https://owasp.org/www-project-proactive-controls/#div-numbering))</t>
  </si>
  <si>
    <t>5.2.2</t>
  </si>
  <si>
    <t>Verify that unstructured data is sanitized to enforce safety measures such as allowed characters and length.</t>
  </si>
  <si>
    <t>5.2.3</t>
  </si>
  <si>
    <t>Verify that the application sanitizes user input before passing to mail systems to protect against SMTP or IMAP injection.</t>
  </si>
  <si>
    <t>5.2.4</t>
  </si>
  <si>
    <t>Verify that the application avoids the use of eval() or other dynamic code execution features. Where there is no alternative, any user input being included must be sanitized or sandboxed before being executed.</t>
  </si>
  <si>
    <t>5.2.5</t>
  </si>
  <si>
    <t>Verify that the application protects against template injection attacks by ensuring that any user input being included is sanitized or sandboxed.</t>
  </si>
  <si>
    <t>5.2.6</t>
  </si>
  <si>
    <t>Verify that the application protects against SSRF attacks, by validating or sanitizing untrusted data or HTTP file metadata, such as filenames and URL input fields, and uses allow lists of protocols, domains, paths and ports.</t>
  </si>
  <si>
    <t>5.2.7</t>
  </si>
  <si>
    <t>Verify that the application sanitizes, disables, or sandboxes user-supplied Scalable Vector Graphics (SVG) scriptable content, especially as they relate to XSS resulting from inline scripts, and foreignObject.</t>
  </si>
  <si>
    <t>5.2.8</t>
  </si>
  <si>
    <t>Verify that the application sanitizes, disables, or sandboxes user-supplied scriptable or expression template language content, such as Markdown, CSS or XSL stylesheets, BBCode, or similar.</t>
  </si>
  <si>
    <t>5.3.1</t>
  </si>
  <si>
    <t>Output Encoding and Injection Prevention</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</si>
  <si>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</si>
  <si>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5.3.2</t>
  </si>
  <si>
    <t>Verify that output encoding preserves the user's chosen character set and locale, such that any Unicode character point is valid and safely handled. ([C4](https://owasp.org/www-project-proactive-controls/#div-numbering))</t>
  </si>
  <si>
    <t>5.3.3</t>
  </si>
  <si>
    <t>Verify that context-aware, preferably automated - or at worst, manual - output escaping protects against reflected, stored, and DOM based XSS. ([C4](https://owasp.org/www-project-proactive-controls/#div-numbering))</t>
  </si>
  <si>
    <t>5.3.4</t>
  </si>
  <si>
    <t>Verify that data selection or database queries (e.g. SQL, HQL, ORM, NoSQL) use parameterized queries, ORMs, entity frameworks, or are otherwise protected from database injection attacks. ([C3](https://owasp.org/www-project-proactive-controls/#div-numbering))</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</si>
  <si>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</si>
  <si>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</si>
  <si>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5.3.6</t>
  </si>
  <si>
    <t>Verify that the application protects against JSON injection attacks, JSON eval attacks, and JavaScript expression evaluation. ([C4](https://owasp.org/www-project-proactive-controls/#div-numbering))</t>
  </si>
  <si>
    <t>5.3.7</t>
  </si>
  <si>
    <t>Verify that the application protects against LDAP injection vulnerabilities, or that specific security controls to prevent LDAP injection have been implemented. ([C4](https://owasp.org/www-project-proactive-controls/#div-numbering))</t>
  </si>
  <si>
    <t>5.3.8</t>
  </si>
  <si>
    <t>Verify that the application protects against OS command injection and that operating system calls use parameterized OS queries or use contextual command line output encoding. ([C4](https://owasp.org/www-project-proactive-controls/#div-numbering))</t>
  </si>
  <si>
    <t>5.3.9</t>
  </si>
  <si>
    <t>Verify that the application protects against Local File Inclusion (LFI) or Remote File Inclusion (RFI) attacks.</t>
  </si>
  <si>
    <t>5.3.10</t>
  </si>
  <si>
    <t>Verify that the application protects against XPath injection or XML injection attacks. ([C4](https://owasp.org/www-project-proactive-controls/#div-numbering))</t>
  </si>
  <si>
    <t>5.4.1</t>
  </si>
  <si>
    <t>Memory, String, and Unmanaged Code</t>
  </si>
  <si>
    <t>Verify that the application uses memory-safe string, safer memory copy and pointer arithmetic to detect or prevent stack, buffer, or heap overflows.</t>
  </si>
  <si>
    <t>5.4.2</t>
  </si>
  <si>
    <t>Verify that format strings do not take potentially hostile input, and are constant.</t>
  </si>
  <si>
    <t>5.4.3</t>
  </si>
  <si>
    <t>Verify that sign, range, and input validation techniques are used to prevent integer overflows.</t>
  </si>
  <si>
    <t>5.5.1</t>
  </si>
  <si>
    <t>Deserialization Prevention</t>
  </si>
  <si>
    <t>Verify that serialized objects use integrity checks or are encrypted to prevent hostile object creation or data tampering. ([C5](https://owasp.org/www-project-proactive-controls/#div-numbering))</t>
  </si>
  <si>
    <t>5.5.2</t>
  </si>
  <si>
    <t>Verify that the application correctly restricts XML parsers to only use the most restrictive configuration possible and to ensure that unsafe features such as resolving external entities are disabled to prevent XML eXternal Entity (XXE) attacks.</t>
  </si>
  <si>
    <t>5.5.3</t>
  </si>
  <si>
    <t>Verify that deserialization of untrusted data is avoided or is protected in both custom code and third-party libraries (such as JSON, XML and YAML parsers).</t>
  </si>
  <si>
    <t>5.5.4</t>
  </si>
  <si>
    <t>Verify that when parsing JSON in browsers or JavaScript-based backends, JSON.parse is used to parse the JSON document. Do not use eval() to parse JSON.</t>
  </si>
  <si>
    <t>6.1.1</t>
  </si>
  <si>
    <t>Data Classification</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</si>
  <si>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</si>
  <si>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</si>
  <si>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</si>
  <si>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6.1.3</t>
  </si>
  <si>
    <t>Verify that regulated financial data is stored encrypted while at rest, such as financial accounts, defaults or credit history, tax records, pay history, beneficiaries, or de-anonymized market or research records.</t>
  </si>
  <si>
    <t>6.2.1</t>
  </si>
  <si>
    <t>Algorithms</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</si>
  <si>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</si>
  <si>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</si>
  <si>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</si>
  <si>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</si>
  <si>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</si>
  <si>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</si>
  <si>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</si>
  <si>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</si>
  <si>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</si>
  <si>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</si>
  <si>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</si>
  <si>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</si>
  <si>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</si>
  <si>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</si>
  <si>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</si>
  <si>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6.3.1</t>
  </si>
  <si>
    <t>Random Values</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</si>
  <si>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</si>
  <si>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</si>
  <si>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</si>
  <si>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</si>
  <si>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</si>
  <si>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6.4.1</t>
  </si>
  <si>
    <t>Secret Management</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</si>
  <si>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</si>
  <si>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</si>
  <si>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</si>
  <si>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7.1.1</t>
  </si>
  <si>
    <t>Log Content</t>
  </si>
  <si>
    <t>Verify that the application does not log credentials or payment details. Session tokens should only be stored in logs in an irreversible, hashed form. ([C9, C10](https://owasp.org/www-project-proactive-controls/#div-numbering))</t>
  </si>
  <si>
    <t>7.1.2</t>
  </si>
  <si>
    <t>Verify that the application does not log other sensitive data as defined under local privacy laws or relevant security policy. ([C9](https://owasp.org/www-project-proactive-controls/#div-numbering))</t>
  </si>
  <si>
    <t>7.1.3</t>
  </si>
  <si>
    <t>Verify that the application logs security relevant events including successful and failed authentication events, access control failures, deserialization failures and input validation failures. ([C5, C7](https://owasp.org/www-project-proactive-controls/#div-numbering))</t>
  </si>
  <si>
    <t>7.1.4</t>
  </si>
  <si>
    <t>Verify that each log event includes necessary information that would allow for a detailed investigation of the timeline when an event happens. ([C9](https://owasp.org/www-project-proactive-controls/#div-numbering))</t>
  </si>
  <si>
    <t>7.2.1</t>
  </si>
  <si>
    <t>Log Processing</t>
  </si>
  <si>
    <t>Verify that all authentication decisions are logged, without storing sensitive session tokens or passwords. This should include requests with relevant metadata needed for security investigations.</t>
  </si>
  <si>
    <t>7.2.2</t>
  </si>
  <si>
    <t>Verify that all access control decisions can be logged and all failed decisions are logged. This should include requests with relevant metadata needed for security investigations.</t>
  </si>
  <si>
    <t>7.3.1</t>
  </si>
  <si>
    <t>Log Protection</t>
  </si>
  <si>
    <t>Verify that all logging components appropriately encode data to prevent log injection. ([C9](https://owasp.org/www-project-proactive-controls/#div-numbering))</t>
  </si>
  <si>
    <t>7.3.2</t>
  </si>
  <si>
    <t>[DELETED, DUPLICATE OF 7.3.1]</t>
  </si>
  <si>
    <t>7.3.3</t>
  </si>
  <si>
    <t>Verify that security logs are protected from unauthorized access and modification. ([C9](https://owasp.org/www-project-proactive-controls/#div-numbering))</t>
  </si>
  <si>
    <t>7.3.4</t>
  </si>
  <si>
    <t>Verify that time sources are synchronized to the correct time and time zone. Strongly consider logging only in UTC if systems are global to assist with post-incident forensic analysis. ([C9](https://owasp.org/www-project-proactive-controls/#div-numbering))</t>
  </si>
  <si>
    <t>7.4.1</t>
  </si>
  <si>
    <t>Error Handling</t>
  </si>
  <si>
    <t>Verify that a generic message is shown when an unexpected or security sensitive error occurs, potentially with a unique ID which support personnel can use to investigate. ([C10](https://owasp.org/www-project-proactive-controls/#div-numbering))</t>
  </si>
  <si>
    <t>7.4.2</t>
  </si>
  <si>
    <t>Verify that exception handling (or a functional equivalent) is used across the codebase to account for expected and unexpected error conditions. ([C10](https://owasp.org/www-project-proactive-controls/#div-numbering))</t>
  </si>
  <si>
    <t>7.4.3</t>
  </si>
  <si>
    <t>Verify that a "last resort" error handler is defined which will catch all unhandled exceptions. ([C10](https://owasp.org/www-project-proactive-controls/#div-numbering))</t>
  </si>
  <si>
    <t>8.1.1</t>
  </si>
  <si>
    <t>General Data Protection</t>
  </si>
  <si>
    <t>Verify the application protects sensitive data from being cached in server components such as load balancers and application caches.</t>
  </si>
  <si>
    <t>8.1.2</t>
  </si>
  <si>
    <t>Verify that all cached or temporary copies of sensitive data stored on the server are protected from unauthorized access or purged/invalidated after the authorized user accesses the sensitive data.</t>
  </si>
  <si>
    <t>8.1.3</t>
  </si>
  <si>
    <t>Verify the application minimizes the number of parameters in a request, such as hidden fields, Ajax variables, cookies and header values.</t>
  </si>
  <si>
    <t>8.1.4</t>
  </si>
  <si>
    <t>Verify the application can detect and alert on abnormal numbers of requests, such as by IP, user, total per hour or day, or whatever makes sense for the application.</t>
  </si>
  <si>
    <t>8.1.5</t>
  </si>
  <si>
    <t>Verify that regular backups of important data are performed and that test restoration of data is performed.</t>
  </si>
  <si>
    <t>8.1.6</t>
  </si>
  <si>
    <t>Verify that backups are stored securely to prevent data from being stolen or corrupted.</t>
  </si>
  <si>
    <t>8.2.1</t>
  </si>
  <si>
    <t>Client-side Data Protection</t>
  </si>
  <si>
    <t>Verify the application sets sufficient anti-caching headers so that sensitive data is not cached in modern browsers.</t>
  </si>
  <si>
    <t>8.2.2</t>
  </si>
  <si>
    <t>Verify that data stored in browser storage (such as localStorage, sessionStorage, IndexedDB, or cookies) does not contain sensitive data.</t>
  </si>
  <si>
    <t>8.2.3</t>
  </si>
  <si>
    <t>Verify that authenticated data is cleared from client storage, such as the browser DOM, after the client or session is terminated.</t>
  </si>
  <si>
    <t>8.3.1</t>
  </si>
  <si>
    <t>Sensitive Private Data</t>
  </si>
  <si>
    <t>Verify that sensitive data is sent to the server in the HTTP message body or headers, and that query string parameters from any HTTP verb do not contain sensitive data.</t>
  </si>
  <si>
    <t>8.3.2</t>
  </si>
  <si>
    <t>Verify that users have a method to remove or export their data on demand.</t>
  </si>
  <si>
    <t>8.3.3</t>
  </si>
  <si>
    <t>Verify that users are provided clear language regarding collection and use of supplied personal information and that users have provided opt-in consent for the use of that data before it is used in any way.</t>
  </si>
  <si>
    <t>8.3.4</t>
  </si>
  <si>
    <t>Verify that all sensitive data created and processed by the application has been identified, and ensure that a policy is in place on how to deal with sensitive data. ([C8](https://owasp.org/www-project-proactive-controls/#div-numbering))</t>
  </si>
  <si>
    <t>8.3.5</t>
  </si>
  <si>
    <t>Verify accessing sensitive data is audited (without logging the sensitive data itself), if the data is collected under relevant data protection directives or where logging of access is required.</t>
  </si>
  <si>
    <t>8.3.6</t>
  </si>
  <si>
    <t>Verify that sensitive information contained in memory is overwritten as soon as it is no longer required to mitigate memory dumping attacks, using zeroes or random data.</t>
  </si>
  <si>
    <t>8.3.7</t>
  </si>
  <si>
    <t>Verify that sensitive or private information that is required to be encrypted, is encrypted using approved algorithms that provide both confidentiality and integrity. ([C8](https://owasp.org/www-project-proactive-controls/#div-numbering))</t>
  </si>
  <si>
    <t>8.3.8</t>
  </si>
  <si>
    <t>Verify that sensitive personal information is subject to data retention classification, such that old or out of date data is deleted automatically, on a schedule, or as the situation requires.</t>
  </si>
  <si>
    <t>9.1.1</t>
  </si>
  <si>
    <t>Client Communication Security</t>
  </si>
  <si>
    <t>Verify that TLS is used for all client connectivity, and does not fall back to insecure or unencrypted communications. ([C8](https://owasp.org/www-project-proactive-controls/#div-numbering))</t>
  </si>
  <si>
    <t>9.1.2</t>
  </si>
  <si>
    <t>Verify using up to date TLS testing tools that only strong cipher suites are enabled, with the strongest cipher suites set as preferred.</t>
  </si>
  <si>
    <t>9.1.3</t>
  </si>
  <si>
    <t>Verify that only the latest recommended versions of the TLS protocol are enabled, such as TLS 1.2 and TLS 1.3. The latest version of the TLS protocol should be the preferred option.</t>
  </si>
  <si>
    <t>9.2.1</t>
  </si>
  <si>
    <t>Server Communication Security</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</si>
  <si>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</si>
  <si>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</si>
  <si>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</si>
  <si>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9.2.3</t>
  </si>
  <si>
    <t>Verify that all encrypted connections to external systems that involve sensitive information or functions are authenticated.</t>
  </si>
  <si>
    <t>9.2.4</t>
  </si>
  <si>
    <t>Verify that proper certification revocation, such as Online Certificate Status Protocol (OCSP) Stapling, is enabled and configured.</t>
  </si>
  <si>
    <t>9.2.5</t>
  </si>
  <si>
    <t>Verify that backend TLS connection failures are logged.</t>
  </si>
  <si>
    <t>10.1.1</t>
  </si>
  <si>
    <t>Code Integrity</t>
  </si>
  <si>
    <t>Verify that a code analysis tool is in use that can detect potentially malicious code, such as time functions, unsafe file operations and network connections.</t>
  </si>
  <si>
    <t>10.2.1</t>
  </si>
  <si>
    <t>Malicious Code Search</t>
  </si>
  <si>
    <t>Verify that the application source code and third party libraries do not contain unauthorized phone home or data collection capabilities. Where such functionality exists, obtain the user's permission for it to operate before collecting any data.</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</si>
  <si>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</si>
  <si>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</si>
  <si>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</si>
  <si>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</si>
  <si>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</si>
  <si>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</si>
  <si>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</si>
  <si>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</si>
  <si>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</si>
  <si>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</si>
  <si>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10.3.1</t>
  </si>
  <si>
    <t>Application Integrity</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</si>
  <si>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</si>
  <si>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</si>
  <si>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</si>
  <si>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</si>
  <si>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</si>
  <si>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11.1.1</t>
  </si>
  <si>
    <t>Business Logic Security</t>
  </si>
  <si>
    <t>Verify that the application will only process business logic flows for the same user in sequential step order and without skipping steps.</t>
  </si>
  <si>
    <t>11.1.2</t>
  </si>
  <si>
    <t>Verify that the application will only process business logic flows with all steps being processed in realistic human time, i.e. transactions are not submitted too quickly.</t>
  </si>
  <si>
    <t>11.1.3</t>
  </si>
  <si>
    <t>Verify the application has appropriate limits for specific business actions or transactions which are correctly enforced on a per user basis.</t>
  </si>
  <si>
    <t>11.1.4</t>
  </si>
  <si>
    <t>Verify that the application has anti-automation controls to protect against excessive calls such as mass data exfiltration, business logic requests, file uploads or denial of service attacks.</t>
  </si>
  <si>
    <t>11.1.5</t>
  </si>
  <si>
    <t>Verify the application has business logic limits or validation to protect against likely business risks or threats, identified using threat modeling or similar methodologies.</t>
  </si>
  <si>
    <t>11.1.6</t>
  </si>
  <si>
    <t>Verify that the application does not suffer from "Time Of Check to Time Of Use" (TOCTOU) issues or other race conditions for sensitive operations.</t>
  </si>
  <si>
    <t>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</si>
  <si>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</si>
  <si>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</si>
  <si>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that the application has configurable alerting when automated attacks or unusual activity is detected.</t>
  </si>
  <si>
    <t>12.1.1</t>
  </si>
  <si>
    <t>File Upload</t>
  </si>
  <si>
    <t>Verify that the application will not accept large files that could fill up storage or cause a denial of service.</t>
  </si>
  <si>
    <t>12.1.2</t>
  </si>
  <si>
    <t>Verify that the application checks compressed files (e.g. zip, gz, docx, odt) against maximum allowed uncompressed size and against maximum number of files before uncompressing the file.</t>
  </si>
  <si>
    <t>12.1.3</t>
  </si>
  <si>
    <t>Verify that a file size quota and maximum number of files per user is enforced to ensure that a single user cannot fill up the storage with too many files, or excessively large files.</t>
  </si>
  <si>
    <t>12.2.1</t>
  </si>
  <si>
    <t>File Integrity</t>
  </si>
  <si>
    <t>Verify that files obtained from untrusted sources are validated to be of expected type based on the file's content.</t>
  </si>
  <si>
    <t>12.3.1</t>
  </si>
  <si>
    <t>File Execution</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</si>
  <si>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</si>
  <si>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</si>
  <si>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</si>
  <si>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</si>
  <si>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</si>
  <si>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</si>
  <si>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</si>
  <si>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</si>
  <si>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</si>
  <si>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</si>
  <si>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</si>
  <si>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12.4.1</t>
  </si>
  <si>
    <t>File Storage</t>
  </si>
  <si>
    <t>Verify that files obtained from untrusted sources are stored outside the web root, with limited permissions.</t>
  </si>
  <si>
    <t>12.4.2</t>
  </si>
  <si>
    <t>Verify that files obtained from untrusted sources are scanned by antivirus scanners to prevent upload and serving of known malicious content.</t>
  </si>
  <si>
    <t>12.5.1</t>
  </si>
  <si>
    <t>File Download</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</si>
  <si>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</si>
  <si>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</si>
  <si>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</si>
  <si>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12.6.1</t>
  </si>
  <si>
    <t>SSRF Protection</t>
  </si>
  <si>
    <t>Verify that the web or application server is configured with an allow list of resources or systems to which the server can send requests or load data/files from.</t>
  </si>
  <si>
    <t>13.1.1</t>
  </si>
  <si>
    <t>Generic Web Service Security</t>
  </si>
  <si>
    <t>Verify that all application components use the same encodings and parsers to avoid parsing attacks that exploit different URI or file parsing behavior that could be used in SSRF and RFI attacks.</t>
  </si>
  <si>
    <t>13.1.2</t>
  </si>
  <si>
    <t>[DELETED, DUPLICATE OF 4.3.1]</t>
  </si>
  <si>
    <t>13.1.3</t>
  </si>
  <si>
    <t>Verify API URLs do not expose sensitive information, such as the API key, session tokens etc.</t>
  </si>
  <si>
    <t>13.1.4</t>
  </si>
  <si>
    <t>Verify that authorization decisions are made at both the URI, enforced by programmatic or declarative security at the controller or router, and at the resource level, enforced by model-based permissions.</t>
  </si>
  <si>
    <t>13.1.5</t>
  </si>
  <si>
    <t>Verify that requests containing unexpected or missing content types are rejected with appropriate headers (HTTP response status 406 Unacceptable or 415 Unsupported Media Type).</t>
  </si>
  <si>
    <t>13.2.1</t>
  </si>
  <si>
    <t>RESTful Web Service</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</si>
  <si>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</si>
  <si>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</si>
  <si>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</si>
  <si>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</si>
  <si>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</si>
  <si>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</si>
  <si>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</si>
  <si>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</si>
  <si>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</si>
  <si>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</si>
  <si>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</si>
  <si>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13.3.1</t>
  </si>
  <si>
    <t>SOAP Web Service</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</si>
  <si>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</si>
  <si>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</si>
  <si>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</si>
  <si>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13.4.1</t>
  </si>
  <si>
    <t>GraphQL</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</si>
  <si>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</si>
  <si>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</si>
  <si>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</si>
  <si>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14.1.1</t>
  </si>
  <si>
    <t>Build and Deploy</t>
  </si>
  <si>
    <t>Verify that the application build and deployment processes are performed in a secure and repeatable way, such as CI / CD automation, automated configuration management, and automated deployment scripts.</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</si>
  <si>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</si>
  <si>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</si>
  <si>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14.1.3</t>
  </si>
  <si>
    <t>Verify that server configuration is hardened as per the recommendations of the application server and frameworks in use.</t>
  </si>
  <si>
    <t>14.1.4</t>
  </si>
  <si>
    <t>Verify that the application, configuration, and all dependencies can be re-deployed using automated deployment scripts, built from a documented and tested runbook in a reasonable time, or restored from backups in a timely fashion.</t>
  </si>
  <si>
    <t>14.1.5</t>
  </si>
  <si>
    <t>Verify that authorized administrators can verify the integrity of all security-relevant configurations to detect tampering.</t>
  </si>
  <si>
    <t>14.2.1</t>
  </si>
  <si>
    <t>Dependency</t>
  </si>
  <si>
    <t>Verify that all components are up to date, preferably using a dependency checker during build or compile time. ([C2](https://owasp.org/www-project-proactive-controls/#div-numbering))</t>
  </si>
  <si>
    <t>14.2.2</t>
  </si>
  <si>
    <t>Verify that all unneeded features, documentation, sample applications and configurations are removed.</t>
  </si>
  <si>
    <t>14.2.3</t>
  </si>
  <si>
    <t>Verify that if application assets, such as JavaScript libraries, CSS or web fonts, are hosted externally on a Content Delivery Network (CDN) or external provider, Subresource Integrity (SRI) is used to validate the integrity of the asset.</t>
  </si>
  <si>
    <t>14.2.4</t>
  </si>
  <si>
    <t>Verify that third party components come from pre-defined, trusted and continually maintained repositories. ([C2](https://owasp.org/www-project-proactive-controls/#div-numbering))</t>
  </si>
  <si>
    <t>14.2.5</t>
  </si>
  <si>
    <t>Verify that a Software Bill of Materials (SBOM) is maintained of all third party libraries in use. ([C2](https://owasp.org/www-project-proactive-controls/#div-numbering))</t>
  </si>
  <si>
    <t>14.2.6</t>
  </si>
  <si>
    <t>Verify that the attack surface is reduced by sandboxing or encapsulating third party libraries to expose only the required behaviour into the application. ([C2](https://owasp.org/www-project-proactive-controls/#div-numbering))</t>
  </si>
  <si>
    <t>14.3.1</t>
  </si>
  <si>
    <t>Unintended Security Disclosure</t>
  </si>
  <si>
    <t>[DELETED, DUPLICATE OF 7.4.1]</t>
  </si>
  <si>
    <t>14.3.2</t>
  </si>
  <si>
    <t>Verify that web or application server and application framework debug modes are disabled in production to eliminate debug features, developer consoles, and unintended security disclosures.</t>
  </si>
  <si>
    <t>14.3.3</t>
  </si>
  <si>
    <t>Verify that the HTTP headers or any part of the HTTP response do not expose detailed version information of system components.</t>
  </si>
  <si>
    <t>14.4.1</t>
  </si>
  <si>
    <t>HTTP Security Headers</t>
  </si>
  <si>
    <t>Verify that every HTTP response contains a Content-Type header. Also specify a safe character set (e.g., UTF-8, ISO-8859-1) if the content types are text/*, /+xml and application/xml. Content must match with the provided Content-Type header.</t>
  </si>
  <si>
    <t>14.4.2</t>
  </si>
  <si>
    <t>Verify that all API responses contain a Content-Disposition: attachment; filename="api.json" header (or other appropriate filename for the content type).</t>
  </si>
  <si>
    <t>14.4.3</t>
  </si>
  <si>
    <t>Verify that a Content Security Policy (CSP) response header is in place that helps mitigate impact for XSS attacks like HTML, DOM, JSON, and JavaScript injection vulnerabilities.</t>
  </si>
  <si>
    <t>14.4.4</t>
  </si>
  <si>
    <t>Verify that all responses contain a X-Content-Type-Options: nosniff header.</t>
  </si>
  <si>
    <t>14.4.5</t>
  </si>
  <si>
    <t>Verify that a Strict-Transport-Security header is included on all responses and for all subdomains, such as Strict-Transport-Security: max-age=15724800; includeSubdomains.</t>
  </si>
  <si>
    <t>14.4.6</t>
  </si>
  <si>
    <t>Verify that a suitable Referrer-Policy header is included to avoid exposing sensitive information in the URL through the Referer header to untrusted parties.</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</si>
  <si>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</si>
  <si>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</si>
  <si>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14.5.1</t>
  </si>
  <si>
    <t>HTTP Request Header Validation</t>
  </si>
  <si>
    <t>Verify that the application server only accepts the HTTP methods in use by the application/API, including pre-flight OPTIONS, and logs/alerts on any requests that are not valid for the application context.</t>
  </si>
  <si>
    <t>14.5.2</t>
  </si>
  <si>
    <t>Verify that the supplied Origin header is not used for authentication or access control decisions, as the Origin header can easily be changed by an attacker.</t>
  </si>
  <si>
    <t>14.5.3</t>
  </si>
  <si>
    <t>Verify that the Cross-Origin Resource Sharing (CORS) Access-Control-Allow-Origin header uses a strict allow list of trusted domains and subdomains to match against and does not support the "null" origin.</t>
  </si>
  <si>
    <t>14.5.4</t>
  </si>
  <si>
    <t>Verify that HTTP headers added by a trusted proxy or SSO devices, such as a bearer token, are authenticated by the application.</t>
  </si>
  <si>
    <t>V1 Architecture, Design and Threat Modeling</t>
  </si>
  <si>
    <t>Level</t>
  </si>
  <si>
    <t>Total</t>
  </si>
  <si>
    <t>Yes</t>
  </si>
  <si>
    <t>No</t>
  </si>
  <si>
    <t>Partially</t>
  </si>
  <si>
    <t>Not applicable</t>
  </si>
  <si>
    <t>No Answer</t>
  </si>
  <si>
    <t>V2 Authentication</t>
  </si>
  <si>
    <t>V3 Session Management</t>
  </si>
  <si>
    <t>V4 Access Control</t>
  </si>
  <si>
    <t>V5 Validation, Sanitization and Encoding</t>
  </si>
  <si>
    <t>V6 Stored Cryptography</t>
  </si>
  <si>
    <t>V7 Error Handling and Logging</t>
  </si>
  <si>
    <t>V8 Data Protection</t>
  </si>
  <si>
    <t>V9 Communication</t>
  </si>
  <si>
    <t>V10 Malicious Code</t>
  </si>
  <si>
    <t>V11 Business Logic</t>
  </si>
  <si>
    <t>V12 Files and Resources</t>
  </si>
  <si>
    <t>V13 API and Web Service</t>
  </si>
  <si>
    <t>V14 Configuration</t>
  </si>
  <si>
    <t>Summary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</si>
</sst>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DCE6F1"/>
        <bgColor indexed="64"/>
      </patternFill>
    </fill>
    <fill>
      <patternFill patternType="solid">
        <fgColor rgb="FFB8CCE4"/>
        <bgColor indexed="64"/>
      </patternFill>
    </fill>
    <fill>
      <patternFill patternType="solid">
        <fgColor rgb="FF95B3D7"/>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top"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cellXfs>
  <cellStyles count="1">
    <cellStyle name="Normal" xfId="0" builtinId="0"/>
  </cellStyles>
  <dxfs count="11">
    <dxf/>
    <dxf/>
    <dxf/>
    <dxf>
      <fill>
        <patternFill>
          <bgColor rgb="FFDCE6F1"/>
        </patternFill>
      </fill>
    </dxf>
    <dxf>
      <fill>
        <patternFill>
          <bgColor rgb="FFB8CCE4"/>
        </patternFill>
      </fill>
    </dxf>
    <dxf>
      <fill>
        <patternFill>
          <bgColor rgb="FF95B3D7"/>
        </patternFill>
      </fill>
    </dxf>
    <dxf/>
    <dxf>
      <fill>
        <patternFill>
          <bgColor rgb="FFECF1DF"/>
        </patternFill>
      </fill>
    </dxf>
    <dxf>
      <fill>
        <patternFill>
          <bgColor rgb="FFFFC7CE"/>
        </patternFill>
      </fill>
    </dxf>
    <dxf>
      <fill>
        <patternFill>
          <bgColor rgb="FFFFEB9C"/>
        </patternFill>
      </fill>
    </dxf>
    <dxf>
      <fill>
        <patternFill>
          <bgColor rgb="FFD3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Fulfillment Summary</a:t>
            </a:r>
          </a:p>
        </c:rich>
      </c:tx>
      <c:layout/>
    </c:title>
    <c:plotArea>
      <c:layout/>
      <c:barChart>
        <c:barDir val="bar"/>
        <c:grouping val="percentStacked"/>
        <c:ser>
          <c:idx val="0"/>
          <c:order val="0"/>
          <c:tx>
            <c:strRef>
              <c:f>Summary!$C$72</c:f>
              <c:strCache>
                <c:ptCount val="1"/>
                <c:pt idx="0">
                  <c:v>Yes</c:v>
                </c:pt>
              </c:strCache>
            </c:strRef>
          </c:tx>
          <c:spPr>
            <a:solidFill>
              <a:srgbClr val="ECF1DF"/>
            </a:solidFill>
            <a:ln>
              <a:solidFill>
                <a:srgbClr val="ECF1DF"/>
              </a:solidFill>
            </a:ln>
          </c:spPr>
          <c:dLbls>
            <c:showVal val="1"/>
          </c:dLbls>
          <c:cat>
            <c:strRef>
              <c:f>Summary!$A$73:$A$75</c:f>
              <c:strCache>
                <c:ptCount val="3"/>
                <c:pt idx="0">
                  <c:v>Level 1</c:v>
                </c:pt>
                <c:pt idx="1">
                  <c:v>Level 2</c:v>
                </c:pt>
                <c:pt idx="2">
                  <c:v>Level 3</c:v>
                </c:pt>
              </c:strCache>
            </c:strRef>
          </c:cat>
          <c:val>
            <c:numRef>
              <c:f>Summary!$C$73:$C$75</c:f>
              <c:numCache>
                <c:formatCode>General</c:formatCode>
                <c:ptCount val="3"/>
                <c:pt idx="0">
                  <c:v>0</c:v>
                </c:pt>
                <c:pt idx="1">
                  <c:v>0</c:v>
                </c:pt>
                <c:pt idx="2">
                  <c:v>0</c:v>
                </c:pt>
              </c:numCache>
            </c:numRef>
          </c:val>
        </c:ser>
        <c:ser>
          <c:idx val="1"/>
          <c:order val="1"/>
          <c:tx>
            <c:strRef>
              <c:f>Summary!$D$72</c:f>
              <c:strCache>
                <c:ptCount val="1"/>
                <c:pt idx="0">
                  <c:v>No</c:v>
                </c:pt>
              </c:strCache>
            </c:strRef>
          </c:tx>
          <c:spPr>
            <a:solidFill>
              <a:srgbClr val="FFC7CE"/>
            </a:solidFill>
            <a:ln>
              <a:solidFill>
                <a:srgbClr val="FFC7CE"/>
              </a:solidFill>
            </a:ln>
          </c:spPr>
          <c:dLbls>
            <c:showVal val="1"/>
          </c:dLbls>
          <c:cat>
            <c:strRef>
              <c:f>Summary!$A$73:$A$75</c:f>
              <c:strCache>
                <c:ptCount val="3"/>
                <c:pt idx="0">
                  <c:v>Level 1</c:v>
                </c:pt>
                <c:pt idx="1">
                  <c:v>Level 2</c:v>
                </c:pt>
                <c:pt idx="2">
                  <c:v>Level 3</c:v>
                </c:pt>
              </c:strCache>
            </c:strRef>
          </c:cat>
          <c:val>
            <c:numRef>
              <c:f>Summary!$D$73:$D$75</c:f>
              <c:numCache>
                <c:formatCode>General</c:formatCode>
                <c:ptCount val="3"/>
                <c:pt idx="0">
                  <c:v>0</c:v>
                </c:pt>
                <c:pt idx="1">
                  <c:v>0</c:v>
                </c:pt>
                <c:pt idx="2">
                  <c:v>0</c:v>
                </c:pt>
              </c:numCache>
            </c:numRef>
          </c:val>
        </c:ser>
        <c:ser>
          <c:idx val="2"/>
          <c:order val="2"/>
          <c:tx>
            <c:strRef>
              <c:f>Summary!$E$72</c:f>
              <c:strCache>
                <c:ptCount val="1"/>
                <c:pt idx="0">
                  <c:v>Partially</c:v>
                </c:pt>
              </c:strCache>
            </c:strRef>
          </c:tx>
          <c:spPr>
            <a:solidFill>
              <a:srgbClr val="FFEB9C"/>
            </a:solidFill>
            <a:ln>
              <a:solidFill>
                <a:srgbClr val="FFEB9C"/>
              </a:solidFill>
            </a:ln>
          </c:spPr>
          <c:dLbls>
            <c:showVal val="1"/>
          </c:dLbls>
          <c:cat>
            <c:strRef>
              <c:f>Summary!$A$73:$A$75</c:f>
              <c:strCache>
                <c:ptCount val="3"/>
                <c:pt idx="0">
                  <c:v>Level 1</c:v>
                </c:pt>
                <c:pt idx="1">
                  <c:v>Level 2</c:v>
                </c:pt>
                <c:pt idx="2">
                  <c:v>Level 3</c:v>
                </c:pt>
              </c:strCache>
            </c:strRef>
          </c:cat>
          <c:val>
            <c:numRef>
              <c:f>Summary!$E$73:$E$75</c:f>
              <c:numCache>
                <c:formatCode>General</c:formatCode>
                <c:ptCount val="3"/>
                <c:pt idx="0">
                  <c:v>0</c:v>
                </c:pt>
                <c:pt idx="1">
                  <c:v>0</c:v>
                </c:pt>
                <c:pt idx="2">
                  <c:v>0</c:v>
                </c:pt>
              </c:numCache>
            </c:numRef>
          </c:val>
        </c:ser>
        <c:ser>
          <c:idx val="3"/>
          <c:order val="3"/>
          <c:tx>
            <c:strRef>
              <c:f>Summary!$F$72</c:f>
              <c:strCache>
                <c:ptCount val="1"/>
                <c:pt idx="0">
                  <c:v>Not applicable</c:v>
                </c:pt>
              </c:strCache>
            </c:strRef>
          </c:tx>
          <c:spPr>
            <a:solidFill>
              <a:srgbClr val="D9D9D9"/>
            </a:solidFill>
            <a:ln>
              <a:solidFill>
                <a:srgbClr val="D9D9D9"/>
              </a:solidFill>
            </a:ln>
          </c:spPr>
          <c:dLbls>
            <c:showVal val="1"/>
          </c:dLbls>
          <c:cat>
            <c:strRef>
              <c:f>Summary!$A$73:$A$75</c:f>
              <c:strCache>
                <c:ptCount val="3"/>
                <c:pt idx="0">
                  <c:v>Level 1</c:v>
                </c:pt>
                <c:pt idx="1">
                  <c:v>Level 2</c:v>
                </c:pt>
                <c:pt idx="2">
                  <c:v>Level 3</c:v>
                </c:pt>
              </c:strCache>
            </c:strRef>
          </c:cat>
          <c:val>
            <c:numRef>
              <c:f>Summary!$F$73:$F$75</c:f>
              <c:numCache>
                <c:formatCode>General</c:formatCode>
                <c:ptCount val="3"/>
                <c:pt idx="0">
                  <c:v>0</c:v>
                </c:pt>
                <c:pt idx="1">
                  <c:v>0</c:v>
                </c:pt>
                <c:pt idx="2">
                  <c:v>0</c:v>
                </c:pt>
              </c:numCache>
            </c:numRef>
          </c:val>
        </c:ser>
        <c:ser>
          <c:idx val="4"/>
          <c:order val="4"/>
          <c:tx>
            <c:strRef>
              <c:f>Summary!$G$72</c:f>
              <c:strCache>
                <c:ptCount val="1"/>
                <c:pt idx="0">
                  <c:v>No Answer</c:v>
                </c:pt>
              </c:strCache>
            </c:strRef>
          </c:tx>
          <c:spPr>
            <a:solidFill>
              <a:srgbClr val="F2F2F2"/>
            </a:solidFill>
            <a:ln>
              <a:solidFill>
                <a:srgbClr val="F2F2F2"/>
              </a:solidFill>
            </a:ln>
          </c:spPr>
          <c:dLbls>
            <c:showVal val="1"/>
          </c:dLbls>
          <c:cat>
            <c:strRef>
              <c:f>Summary!$A$73:$A$75</c:f>
              <c:strCache>
                <c:ptCount val="3"/>
                <c:pt idx="0">
                  <c:v>Level 1</c:v>
                </c:pt>
                <c:pt idx="1">
                  <c:v>Level 2</c:v>
                </c:pt>
                <c:pt idx="2">
                  <c:v>Level 3</c:v>
                </c:pt>
              </c:strCache>
            </c:strRef>
          </c:cat>
          <c:val>
            <c:numRef>
              <c:f>Summary!$G$73:$G$75</c:f>
              <c:numCache>
                <c:formatCode>General</c:formatCode>
                <c:ptCount val="3"/>
                <c:pt idx="0">
                  <c:v>0</c:v>
                </c:pt>
                <c:pt idx="1">
                  <c:v>0</c:v>
                </c:pt>
                <c:pt idx="2">
                  <c:v>0</c:v>
                </c:pt>
              </c:numCache>
            </c:numRef>
          </c:val>
        </c:ser>
        <c:overlap val="100"/>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scaling>
        <c:axPos val="b"/>
        <c:majorGridlines/>
        <c:numFmt formatCode="0%" sourceLinked="1"/>
        <c:tickLblPos val="none"/>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e1" displayName="Table1" ref="A2:G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7:G1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3.xml><?xml version="1.0" encoding="utf-8"?>
<table xmlns="http://schemas.openxmlformats.org/spreadsheetml/2006/main" id="3" name="Table3" displayName="Table3" ref="A12:G1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7:G2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22:G2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27:G3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32:G3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37:G4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42:G4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7:G5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52:G5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57:G6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62:G6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67:G7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72:G7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6.xml><?xml version="1.0" encoding="utf-8"?>
<table xmlns="http://schemas.openxmlformats.org/spreadsheetml/2006/main" id="16" name="table_v1" displayName="table_v1" ref="A1:H43" totalsRowShown="0">
  <autoFilter ref="A1:H43"/>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17.xml><?xml version="1.0" encoding="utf-8"?>
<table xmlns="http://schemas.openxmlformats.org/spreadsheetml/2006/main" id="17" name="table_v2" displayName="table_v2" ref="A1:H58" totalsRowShown="0">
  <autoFilter ref="A1:H58"/>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18.xml><?xml version="1.0" encoding="utf-8"?>
<table xmlns="http://schemas.openxmlformats.org/spreadsheetml/2006/main" id="18" name="table_v3" displayName="table_v3" ref="A1:H21" totalsRowShown="0">
  <autoFilter ref="A1:H21"/>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19.xml><?xml version="1.0" encoding="utf-8"?>
<table xmlns="http://schemas.openxmlformats.org/spreadsheetml/2006/main" id="19" name="table_v4" displayName="table_v4" ref="A1:H11" totalsRowShown="0">
  <autoFilter ref="A1:H11"/>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0.xml><?xml version="1.0" encoding="utf-8"?>
<table xmlns="http://schemas.openxmlformats.org/spreadsheetml/2006/main" id="20" name="table_v5" displayName="table_v5" ref="A1:H31" totalsRowShown="0">
  <autoFilter ref="A1:H31"/>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1.xml><?xml version="1.0" encoding="utf-8"?>
<table xmlns="http://schemas.openxmlformats.org/spreadsheetml/2006/main" id="21" name="table_v6" displayName="table_v6" ref="A1:H17" totalsRowShown="0">
  <autoFilter ref="A1:H17"/>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2.xml><?xml version="1.0" encoding="utf-8"?>
<table xmlns="http://schemas.openxmlformats.org/spreadsheetml/2006/main" id="22" name="table_v7" displayName="table_v7" ref="A1:H14" totalsRowShown="0">
  <autoFilter ref="A1:H14"/>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3.xml><?xml version="1.0" encoding="utf-8"?>
<table xmlns="http://schemas.openxmlformats.org/spreadsheetml/2006/main" id="23" name="table_v8" displayName="table_v8" ref="A1:H18" totalsRowShown="0">
  <autoFilter ref="A1:H18"/>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4.xml><?xml version="1.0" encoding="utf-8"?>
<table xmlns="http://schemas.openxmlformats.org/spreadsheetml/2006/main" id="24" name="table_v9" displayName="table_v9" ref="A1:H9" totalsRowShown="0">
  <autoFilter ref="A1:H9"/>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5.xml><?xml version="1.0" encoding="utf-8"?>
<table xmlns="http://schemas.openxmlformats.org/spreadsheetml/2006/main" id="25" name="table_v10" displayName="table_v10" ref="A1:H11" totalsRowShown="0">
  <autoFilter ref="A1:H11"/>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6.xml><?xml version="1.0" encoding="utf-8"?>
<table xmlns="http://schemas.openxmlformats.org/spreadsheetml/2006/main" id="26" name="table_v11" displayName="table_v11" ref="A1:H9" totalsRowShown="0">
  <autoFilter ref="A1:H9"/>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7.xml><?xml version="1.0" encoding="utf-8"?>
<table xmlns="http://schemas.openxmlformats.org/spreadsheetml/2006/main" id="27" name="table_v12" displayName="table_v12" ref="A1:H16" totalsRowShown="0">
  <autoFilter ref="A1:H16"/>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8.xml><?xml version="1.0" encoding="utf-8"?>
<table xmlns="http://schemas.openxmlformats.org/spreadsheetml/2006/main" id="28" name="table_v13" displayName="table_v13" ref="A1:H16" totalsRowShown="0">
  <autoFilter ref="A1:H16"/>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9.xml><?xml version="1.0" encoding="utf-8"?>
<table xmlns="http://schemas.openxmlformats.org/spreadsheetml/2006/main" id="29" name="table_v14" displayName="table_v14" ref="A1:H26" totalsRowShown="0">
  <autoFilter ref="A1:H26"/>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openxmlformats.org/officeDocument/2006/relationships/table" Target="../tables/table2.xml"/><Relationship Id="rId4" Type="http://schemas.openxmlformats.org/officeDocument/2006/relationships/table" Target="../tables/table3.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 Id="rId8" Type="http://schemas.openxmlformats.org/officeDocument/2006/relationships/table" Target="../tables/table7.xml"/><Relationship Id="rId9" Type="http://schemas.openxmlformats.org/officeDocument/2006/relationships/table" Target="../tables/table8.xml"/><Relationship Id="rId10" Type="http://schemas.openxmlformats.org/officeDocument/2006/relationships/table" Target="../tables/table9.xml"/><Relationship Id="rId11" Type="http://schemas.openxmlformats.org/officeDocument/2006/relationships/table" Target="../tables/table10.xml"/><Relationship Id="rId12" Type="http://schemas.openxmlformats.org/officeDocument/2006/relationships/table" Target="../tables/table11.xml"/><Relationship Id="rId13" Type="http://schemas.openxmlformats.org/officeDocument/2006/relationships/table" Target="../tables/table12.xml"/><Relationship Id="rId14" Type="http://schemas.openxmlformats.org/officeDocument/2006/relationships/table" Target="../tables/table13.xml"/><Relationship Id="rId15" Type="http://schemas.openxmlformats.org/officeDocument/2006/relationships/table" Target="../tables/table14.xml"/><Relationship Id="rId16" Type="http://schemas.openxmlformats.org/officeDocument/2006/relationships/table" Target="../tables/table15.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dimension ref="A1:G75"/>
  <sheetViews>
    <sheetView tabSelected="1" zoomScale="150" zoomScaleNormal="150" workbookViewId="0"/>
  </sheetViews>
  <sheetFormatPr defaultRowHeight="15"/>
  <sheetData>
    <row r="1" spans="1:7">
      <c r="A1" s="1" t="s">
        <v>655</v>
      </c>
    </row>
    <row r="2" spans="1:7">
      <c r="A2" t="s">
        <v>656</v>
      </c>
      <c r="B2" t="s">
        <v>657</v>
      </c>
      <c r="C2" t="s">
        <v>658</v>
      </c>
      <c r="D2" t="s">
        <v>659</v>
      </c>
      <c r="E2" t="s">
        <v>660</v>
      </c>
      <c r="F2" t="s">
        <v>661</v>
      </c>
      <c r="G2" t="s">
        <v>662</v>
      </c>
    </row>
    <row r="3" spans="1:7">
      <c r="A3" t="s">
        <v>3</v>
      </c>
      <c r="B3">
        <f>COUNTA(table_v1[Level 1])</f>
        <v>0</v>
      </c>
      <c r="C3">
        <f>COUNTIFS(table_v1[Fulfilled], "Yes", table_v1[Level 1], "&lt;&gt;")</f>
        <v>0</v>
      </c>
      <c r="D3">
        <f>COUNTIFS(table_v1[Fulfilled], "No", table_v1[Level 1], "&lt;&gt;")</f>
        <v>0</v>
      </c>
      <c r="E3">
        <f>COUNTIFS(table_v1[Fulfilled], "Partially", table_v1[Level 1], "&lt;&gt;")</f>
        <v>0</v>
      </c>
      <c r="F3">
        <f>COUNTIFS(table_v1[Fulfilled], "Not applicable", table_v1[Level 1], "&lt;&gt;")</f>
        <v>0</v>
      </c>
      <c r="G3">
        <f>COUNTIFS(table_v1[Fulfilled], "", table_v1[Level 1], "&lt;&gt;")</f>
        <v>0</v>
      </c>
    </row>
    <row r="4" spans="1:7">
      <c r="A4" t="s">
        <v>4</v>
      </c>
      <c r="B4">
        <f>COUNTA(table_v1[Level 2])</f>
        <v>0</v>
      </c>
      <c r="C4">
        <f>COUNTIFS(table_v1[Fulfilled], "Yes", table_v1[Level 2], "&lt;&gt;")</f>
        <v>0</v>
      </c>
      <c r="D4">
        <f>COUNTIFS(table_v1[Fulfilled], "No", table_v1[Level 2], "&lt;&gt;")</f>
        <v>0</v>
      </c>
      <c r="E4">
        <f>COUNTIFS(table_v1[Fulfilled], "Partially", table_v1[Level 2], "&lt;&gt;")</f>
        <v>0</v>
      </c>
      <c r="F4">
        <f>COUNTIFS(table_v1[Fulfilled], "Not applicable", table_v1[Level 2], "&lt;&gt;")</f>
        <v>0</v>
      </c>
      <c r="G4">
        <f>COUNTIFS(table_v1[Fulfilled], "", table_v1[Level 2], "&lt;&gt;")</f>
        <v>0</v>
      </c>
    </row>
    <row r="5" spans="1:7">
      <c r="A5" t="s">
        <v>5</v>
      </c>
      <c r="B5">
        <f>COUNTA(table_v1[Level 3])</f>
        <v>0</v>
      </c>
      <c r="C5">
        <f>COUNTIFS(table_v1[Fulfilled], "Yes", table_v1[Level 3], "&lt;&gt;")</f>
        <v>0</v>
      </c>
      <c r="D5">
        <f>COUNTIFS(table_v1[Fulfilled], "No", table_v1[Level 3], "&lt;&gt;")</f>
        <v>0</v>
      </c>
      <c r="E5">
        <f>COUNTIFS(table_v1[Fulfilled], "Partially", table_v1[Level 3], "&lt;&gt;")</f>
        <v>0</v>
      </c>
      <c r="F5">
        <f>COUNTIFS(table_v1[Fulfilled], "Not applicable", table_v1[Level 3], "&lt;&gt;")</f>
        <v>0</v>
      </c>
      <c r="G5">
        <f>COUNTIFS(table_v1[Fulfilled], "", table_v1[Level 3], "&lt;&gt;")</f>
        <v>0</v>
      </c>
    </row>
    <row r="6" spans="1:7">
      <c r="A6" s="1" t="s">
        <v>663</v>
      </c>
    </row>
    <row r="7" spans="1:7">
      <c r="A7" t="s">
        <v>656</v>
      </c>
      <c r="B7" t="s">
        <v>657</v>
      </c>
      <c r="C7" t="s">
        <v>658</v>
      </c>
      <c r="D7" t="s">
        <v>659</v>
      </c>
      <c r="E7" t="s">
        <v>660</v>
      </c>
      <c r="F7" t="s">
        <v>661</v>
      </c>
      <c r="G7" t="s">
        <v>662</v>
      </c>
    </row>
    <row r="8" spans="1:7">
      <c r="A8" t="s">
        <v>3</v>
      </c>
      <c r="B8">
        <f>COUNTA(table_v2[Level 1])</f>
        <v>0</v>
      </c>
      <c r="C8">
        <f>COUNTIFS(table_v2[Fulfilled], "Yes", table_v2[Level 1], "&lt;&gt;")</f>
        <v>0</v>
      </c>
      <c r="D8">
        <f>COUNTIFS(table_v2[Fulfilled], "No", table_v2[Level 1], "&lt;&gt;")</f>
        <v>0</v>
      </c>
      <c r="E8">
        <f>COUNTIFS(table_v2[Fulfilled], "Partially", table_v2[Level 1], "&lt;&gt;")</f>
        <v>0</v>
      </c>
      <c r="F8">
        <f>COUNTIFS(table_v2[Fulfilled], "Not applicable", table_v2[Level 1], "&lt;&gt;")</f>
        <v>0</v>
      </c>
      <c r="G8">
        <f>COUNTIFS(table_v2[Fulfilled], "", table_v2[Level 1], "&lt;&gt;")</f>
        <v>0</v>
      </c>
    </row>
    <row r="9" spans="1:7">
      <c r="A9" t="s">
        <v>4</v>
      </c>
      <c r="B9">
        <f>COUNTA(table_v2[Level 2])</f>
        <v>0</v>
      </c>
      <c r="C9">
        <f>COUNTIFS(table_v2[Fulfilled], "Yes", table_v2[Level 2], "&lt;&gt;")</f>
        <v>0</v>
      </c>
      <c r="D9">
        <f>COUNTIFS(table_v2[Fulfilled], "No", table_v2[Level 2], "&lt;&gt;")</f>
        <v>0</v>
      </c>
      <c r="E9">
        <f>COUNTIFS(table_v2[Fulfilled], "Partially", table_v2[Level 2], "&lt;&gt;")</f>
        <v>0</v>
      </c>
      <c r="F9">
        <f>COUNTIFS(table_v2[Fulfilled], "Not applicable", table_v2[Level 2], "&lt;&gt;")</f>
        <v>0</v>
      </c>
      <c r="G9">
        <f>COUNTIFS(table_v2[Fulfilled], "", table_v2[Level 2], "&lt;&gt;")</f>
        <v>0</v>
      </c>
    </row>
    <row r="10" spans="1:7">
      <c r="A10" t="s">
        <v>5</v>
      </c>
      <c r="B10">
        <f>COUNTA(table_v2[Level 3])</f>
        <v>0</v>
      </c>
      <c r="C10">
        <f>COUNTIFS(table_v2[Fulfilled], "Yes", table_v2[Level 3], "&lt;&gt;")</f>
        <v>0</v>
      </c>
      <c r="D10">
        <f>COUNTIFS(table_v2[Fulfilled], "No", table_v2[Level 3], "&lt;&gt;")</f>
        <v>0</v>
      </c>
      <c r="E10">
        <f>COUNTIFS(table_v2[Fulfilled], "Partially", table_v2[Level 3], "&lt;&gt;")</f>
        <v>0</v>
      </c>
      <c r="F10">
        <f>COUNTIFS(table_v2[Fulfilled], "Not applicable", table_v2[Level 3], "&lt;&gt;")</f>
        <v>0</v>
      </c>
      <c r="G10">
        <f>COUNTIFS(table_v2[Fulfilled], "", table_v2[Level 3], "&lt;&gt;")</f>
        <v>0</v>
      </c>
    </row>
    <row r="11" spans="1:7">
      <c r="A11" s="1" t="s">
        <v>664</v>
      </c>
    </row>
    <row r="12" spans="1:7">
      <c r="A12" t="s">
        <v>656</v>
      </c>
      <c r="B12" t="s">
        <v>657</v>
      </c>
      <c r="C12" t="s">
        <v>658</v>
      </c>
      <c r="D12" t="s">
        <v>659</v>
      </c>
      <c r="E12" t="s">
        <v>660</v>
      </c>
      <c r="F12" t="s">
        <v>661</v>
      </c>
      <c r="G12" t="s">
        <v>662</v>
      </c>
    </row>
    <row r="13" spans="1:7">
      <c r="A13" t="s">
        <v>3</v>
      </c>
      <c r="B13">
        <f>COUNTA(table_v3[Level 1])</f>
        <v>0</v>
      </c>
      <c r="C13">
        <f>COUNTIFS(table_v3[Fulfilled], "Yes", table_v3[Level 1], "&lt;&gt;")</f>
        <v>0</v>
      </c>
      <c r="D13">
        <f>COUNTIFS(table_v3[Fulfilled], "No", table_v3[Level 1], "&lt;&gt;")</f>
        <v>0</v>
      </c>
      <c r="E13">
        <f>COUNTIFS(table_v3[Fulfilled], "Partially", table_v3[Level 1], "&lt;&gt;")</f>
        <v>0</v>
      </c>
      <c r="F13">
        <f>COUNTIFS(table_v3[Fulfilled], "Not applicable", table_v3[Level 1], "&lt;&gt;")</f>
        <v>0</v>
      </c>
      <c r="G13">
        <f>COUNTIFS(table_v3[Fulfilled], "", table_v3[Level 1], "&lt;&gt;")</f>
        <v>0</v>
      </c>
    </row>
    <row r="14" spans="1:7">
      <c r="A14" t="s">
        <v>4</v>
      </c>
      <c r="B14">
        <f>COUNTA(table_v3[Level 2])</f>
        <v>0</v>
      </c>
      <c r="C14">
        <f>COUNTIFS(table_v3[Fulfilled], "Yes", table_v3[Level 2], "&lt;&gt;")</f>
        <v>0</v>
      </c>
      <c r="D14">
        <f>COUNTIFS(table_v3[Fulfilled], "No", table_v3[Level 2], "&lt;&gt;")</f>
        <v>0</v>
      </c>
      <c r="E14">
        <f>COUNTIFS(table_v3[Fulfilled], "Partially", table_v3[Level 2], "&lt;&gt;")</f>
        <v>0</v>
      </c>
      <c r="F14">
        <f>COUNTIFS(table_v3[Fulfilled], "Not applicable", table_v3[Level 2], "&lt;&gt;")</f>
        <v>0</v>
      </c>
      <c r="G14">
        <f>COUNTIFS(table_v3[Fulfilled], "", table_v3[Level 2], "&lt;&gt;")</f>
        <v>0</v>
      </c>
    </row>
    <row r="15" spans="1:7">
      <c r="A15" t="s">
        <v>5</v>
      </c>
      <c r="B15">
        <f>COUNTA(table_v3[Level 3])</f>
        <v>0</v>
      </c>
      <c r="C15">
        <f>COUNTIFS(table_v3[Fulfilled], "Yes", table_v3[Level 3], "&lt;&gt;")</f>
        <v>0</v>
      </c>
      <c r="D15">
        <f>COUNTIFS(table_v3[Fulfilled], "No", table_v3[Level 3], "&lt;&gt;")</f>
        <v>0</v>
      </c>
      <c r="E15">
        <f>COUNTIFS(table_v3[Fulfilled], "Partially", table_v3[Level 3], "&lt;&gt;")</f>
        <v>0</v>
      </c>
      <c r="F15">
        <f>COUNTIFS(table_v3[Fulfilled], "Not applicable", table_v3[Level 3], "&lt;&gt;")</f>
        <v>0</v>
      </c>
      <c r="G15">
        <f>COUNTIFS(table_v3[Fulfilled], "", table_v3[Level 3], "&lt;&gt;")</f>
        <v>0</v>
      </c>
    </row>
    <row r="16" spans="1:7">
      <c r="A16" s="1" t="s">
        <v>665</v>
      </c>
    </row>
    <row r="17" spans="1:7">
      <c r="A17" t="s">
        <v>656</v>
      </c>
      <c r="B17" t="s">
        <v>657</v>
      </c>
      <c r="C17" t="s">
        <v>658</v>
      </c>
      <c r="D17" t="s">
        <v>659</v>
      </c>
      <c r="E17" t="s">
        <v>660</v>
      </c>
      <c r="F17" t="s">
        <v>661</v>
      </c>
      <c r="G17" t="s">
        <v>662</v>
      </c>
    </row>
    <row r="18" spans="1:7">
      <c r="A18" t="s">
        <v>3</v>
      </c>
      <c r="B18">
        <f>COUNTA(table_v4[Level 1])</f>
        <v>0</v>
      </c>
      <c r="C18">
        <f>COUNTIFS(table_v4[Fulfilled], "Yes", table_v4[Level 1], "&lt;&gt;")</f>
        <v>0</v>
      </c>
      <c r="D18">
        <f>COUNTIFS(table_v4[Fulfilled], "No", table_v4[Level 1], "&lt;&gt;")</f>
        <v>0</v>
      </c>
      <c r="E18">
        <f>COUNTIFS(table_v4[Fulfilled], "Partially", table_v4[Level 1], "&lt;&gt;")</f>
        <v>0</v>
      </c>
      <c r="F18">
        <f>COUNTIFS(table_v4[Fulfilled], "Not applicable", table_v4[Level 1], "&lt;&gt;")</f>
        <v>0</v>
      </c>
      <c r="G18">
        <f>COUNTIFS(table_v4[Fulfilled], "", table_v4[Level 1], "&lt;&gt;")</f>
        <v>0</v>
      </c>
    </row>
    <row r="19" spans="1:7">
      <c r="A19" t="s">
        <v>4</v>
      </c>
      <c r="B19">
        <f>COUNTA(table_v4[Level 2])</f>
        <v>0</v>
      </c>
      <c r="C19">
        <f>COUNTIFS(table_v4[Fulfilled], "Yes", table_v4[Level 2], "&lt;&gt;")</f>
        <v>0</v>
      </c>
      <c r="D19">
        <f>COUNTIFS(table_v4[Fulfilled], "No", table_v4[Level 2], "&lt;&gt;")</f>
        <v>0</v>
      </c>
      <c r="E19">
        <f>COUNTIFS(table_v4[Fulfilled], "Partially", table_v4[Level 2], "&lt;&gt;")</f>
        <v>0</v>
      </c>
      <c r="F19">
        <f>COUNTIFS(table_v4[Fulfilled], "Not applicable", table_v4[Level 2], "&lt;&gt;")</f>
        <v>0</v>
      </c>
      <c r="G19">
        <f>COUNTIFS(table_v4[Fulfilled], "", table_v4[Level 2], "&lt;&gt;")</f>
        <v>0</v>
      </c>
    </row>
    <row r="20" spans="1:7">
      <c r="A20" t="s">
        <v>5</v>
      </c>
      <c r="B20">
        <f>COUNTA(table_v4[Level 3])</f>
        <v>0</v>
      </c>
      <c r="C20">
        <f>COUNTIFS(table_v4[Fulfilled], "Yes", table_v4[Level 3], "&lt;&gt;")</f>
        <v>0</v>
      </c>
      <c r="D20">
        <f>COUNTIFS(table_v4[Fulfilled], "No", table_v4[Level 3], "&lt;&gt;")</f>
        <v>0</v>
      </c>
      <c r="E20">
        <f>COUNTIFS(table_v4[Fulfilled], "Partially", table_v4[Level 3], "&lt;&gt;")</f>
        <v>0</v>
      </c>
      <c r="F20">
        <f>COUNTIFS(table_v4[Fulfilled], "Not applicable", table_v4[Level 3], "&lt;&gt;")</f>
        <v>0</v>
      </c>
      <c r="G20">
        <f>COUNTIFS(table_v4[Fulfilled], "", table_v4[Level 3], "&lt;&gt;")</f>
        <v>0</v>
      </c>
    </row>
    <row r="21" spans="1:7">
      <c r="A21" s="1" t="s">
        <v>666</v>
      </c>
    </row>
    <row r="22" spans="1:7">
      <c r="A22" t="s">
        <v>656</v>
      </c>
      <c r="B22" t="s">
        <v>657</v>
      </c>
      <c r="C22" t="s">
        <v>658</v>
      </c>
      <c r="D22" t="s">
        <v>659</v>
      </c>
      <c r="E22" t="s">
        <v>660</v>
      </c>
      <c r="F22" t="s">
        <v>661</v>
      </c>
      <c r="G22" t="s">
        <v>662</v>
      </c>
    </row>
    <row r="23" spans="1:7">
      <c r="A23" t="s">
        <v>3</v>
      </c>
      <c r="B23">
        <f>COUNTA(table_v5[Level 1])</f>
        <v>0</v>
      </c>
      <c r="C23">
        <f>COUNTIFS(table_v5[Fulfilled], "Yes", table_v5[Level 1], "&lt;&gt;")</f>
        <v>0</v>
      </c>
      <c r="D23">
        <f>COUNTIFS(table_v5[Fulfilled], "No", table_v5[Level 1], "&lt;&gt;")</f>
        <v>0</v>
      </c>
      <c r="E23">
        <f>COUNTIFS(table_v5[Fulfilled], "Partially", table_v5[Level 1], "&lt;&gt;")</f>
        <v>0</v>
      </c>
      <c r="F23">
        <f>COUNTIFS(table_v5[Fulfilled], "Not applicable", table_v5[Level 1], "&lt;&gt;")</f>
        <v>0</v>
      </c>
      <c r="G23">
        <f>COUNTIFS(table_v5[Fulfilled], "", table_v5[Level 1], "&lt;&gt;")</f>
        <v>0</v>
      </c>
    </row>
    <row r="24" spans="1:7">
      <c r="A24" t="s">
        <v>4</v>
      </c>
      <c r="B24">
        <f>COUNTA(table_v5[Level 2])</f>
        <v>0</v>
      </c>
      <c r="C24">
        <f>COUNTIFS(table_v5[Fulfilled], "Yes", table_v5[Level 2], "&lt;&gt;")</f>
        <v>0</v>
      </c>
      <c r="D24">
        <f>COUNTIFS(table_v5[Fulfilled], "No", table_v5[Level 2], "&lt;&gt;")</f>
        <v>0</v>
      </c>
      <c r="E24">
        <f>COUNTIFS(table_v5[Fulfilled], "Partially", table_v5[Level 2], "&lt;&gt;")</f>
        <v>0</v>
      </c>
      <c r="F24">
        <f>COUNTIFS(table_v5[Fulfilled], "Not applicable", table_v5[Level 2], "&lt;&gt;")</f>
        <v>0</v>
      </c>
      <c r="G24">
        <f>COUNTIFS(table_v5[Fulfilled], "", table_v5[Level 2], "&lt;&gt;")</f>
        <v>0</v>
      </c>
    </row>
    <row r="25" spans="1:7">
      <c r="A25" t="s">
        <v>5</v>
      </c>
      <c r="B25">
        <f>COUNTA(table_v5[Level 3])</f>
        <v>0</v>
      </c>
      <c r="C25">
        <f>COUNTIFS(table_v5[Fulfilled], "Yes", table_v5[Level 3], "&lt;&gt;")</f>
        <v>0</v>
      </c>
      <c r="D25">
        <f>COUNTIFS(table_v5[Fulfilled], "No", table_v5[Level 3], "&lt;&gt;")</f>
        <v>0</v>
      </c>
      <c r="E25">
        <f>COUNTIFS(table_v5[Fulfilled], "Partially", table_v5[Level 3], "&lt;&gt;")</f>
        <v>0</v>
      </c>
      <c r="F25">
        <f>COUNTIFS(table_v5[Fulfilled], "Not applicable", table_v5[Level 3], "&lt;&gt;")</f>
        <v>0</v>
      </c>
      <c r="G25">
        <f>COUNTIFS(table_v5[Fulfilled], "", table_v5[Level 3], "&lt;&gt;")</f>
        <v>0</v>
      </c>
    </row>
    <row r="26" spans="1:7">
      <c r="A26" s="1" t="s">
        <v>667</v>
      </c>
    </row>
    <row r="27" spans="1:7">
      <c r="A27" t="s">
        <v>656</v>
      </c>
      <c r="B27" t="s">
        <v>657</v>
      </c>
      <c r="C27" t="s">
        <v>658</v>
      </c>
      <c r="D27" t="s">
        <v>659</v>
      </c>
      <c r="E27" t="s">
        <v>660</v>
      </c>
      <c r="F27" t="s">
        <v>661</v>
      </c>
      <c r="G27" t="s">
        <v>662</v>
      </c>
    </row>
    <row r="28" spans="1:7">
      <c r="A28" t="s">
        <v>3</v>
      </c>
      <c r="B28">
        <f>COUNTA(table_v6[Level 1])</f>
        <v>0</v>
      </c>
      <c r="C28">
        <f>COUNTIFS(table_v6[Fulfilled], "Yes", table_v6[Level 1], "&lt;&gt;")</f>
        <v>0</v>
      </c>
      <c r="D28">
        <f>COUNTIFS(table_v6[Fulfilled], "No", table_v6[Level 1], "&lt;&gt;")</f>
        <v>0</v>
      </c>
      <c r="E28">
        <f>COUNTIFS(table_v6[Fulfilled], "Partially", table_v6[Level 1], "&lt;&gt;")</f>
        <v>0</v>
      </c>
      <c r="F28">
        <f>COUNTIFS(table_v6[Fulfilled], "Not applicable", table_v6[Level 1], "&lt;&gt;")</f>
        <v>0</v>
      </c>
      <c r="G28">
        <f>COUNTIFS(table_v6[Fulfilled], "", table_v6[Level 1], "&lt;&gt;")</f>
        <v>0</v>
      </c>
    </row>
    <row r="29" spans="1:7">
      <c r="A29" t="s">
        <v>4</v>
      </c>
      <c r="B29">
        <f>COUNTA(table_v6[Level 2])</f>
        <v>0</v>
      </c>
      <c r="C29">
        <f>COUNTIFS(table_v6[Fulfilled], "Yes", table_v6[Level 2], "&lt;&gt;")</f>
        <v>0</v>
      </c>
      <c r="D29">
        <f>COUNTIFS(table_v6[Fulfilled], "No", table_v6[Level 2], "&lt;&gt;")</f>
        <v>0</v>
      </c>
      <c r="E29">
        <f>COUNTIFS(table_v6[Fulfilled], "Partially", table_v6[Level 2], "&lt;&gt;")</f>
        <v>0</v>
      </c>
      <c r="F29">
        <f>COUNTIFS(table_v6[Fulfilled], "Not applicable", table_v6[Level 2], "&lt;&gt;")</f>
        <v>0</v>
      </c>
      <c r="G29">
        <f>COUNTIFS(table_v6[Fulfilled], "", table_v6[Level 2], "&lt;&gt;")</f>
        <v>0</v>
      </c>
    </row>
    <row r="30" spans="1:7">
      <c r="A30" t="s">
        <v>5</v>
      </c>
      <c r="B30">
        <f>COUNTA(table_v6[Level 3])</f>
        <v>0</v>
      </c>
      <c r="C30">
        <f>COUNTIFS(table_v6[Fulfilled], "Yes", table_v6[Level 3], "&lt;&gt;")</f>
        <v>0</v>
      </c>
      <c r="D30">
        <f>COUNTIFS(table_v6[Fulfilled], "No", table_v6[Level 3], "&lt;&gt;")</f>
        <v>0</v>
      </c>
      <c r="E30">
        <f>COUNTIFS(table_v6[Fulfilled], "Partially", table_v6[Level 3], "&lt;&gt;")</f>
        <v>0</v>
      </c>
      <c r="F30">
        <f>COUNTIFS(table_v6[Fulfilled], "Not applicable", table_v6[Level 3], "&lt;&gt;")</f>
        <v>0</v>
      </c>
      <c r="G30">
        <f>COUNTIFS(table_v6[Fulfilled], "", table_v6[Level 3], "&lt;&gt;")</f>
        <v>0</v>
      </c>
    </row>
    <row r="31" spans="1:7">
      <c r="A31" s="1" t="s">
        <v>668</v>
      </c>
    </row>
    <row r="32" spans="1:7">
      <c r="A32" t="s">
        <v>656</v>
      </c>
      <c r="B32" t="s">
        <v>657</v>
      </c>
      <c r="C32" t="s">
        <v>658</v>
      </c>
      <c r="D32" t="s">
        <v>659</v>
      </c>
      <c r="E32" t="s">
        <v>660</v>
      </c>
      <c r="F32" t="s">
        <v>661</v>
      </c>
      <c r="G32" t="s">
        <v>662</v>
      </c>
    </row>
    <row r="33" spans="1:7">
      <c r="A33" t="s">
        <v>3</v>
      </c>
      <c r="B33">
        <f>COUNTA(table_v7[Level 1])</f>
        <v>0</v>
      </c>
      <c r="C33">
        <f>COUNTIFS(table_v7[Fulfilled], "Yes", table_v7[Level 1], "&lt;&gt;")</f>
        <v>0</v>
      </c>
      <c r="D33">
        <f>COUNTIFS(table_v7[Fulfilled], "No", table_v7[Level 1], "&lt;&gt;")</f>
        <v>0</v>
      </c>
      <c r="E33">
        <f>COUNTIFS(table_v7[Fulfilled], "Partially", table_v7[Level 1], "&lt;&gt;")</f>
        <v>0</v>
      </c>
      <c r="F33">
        <f>COUNTIFS(table_v7[Fulfilled], "Not applicable", table_v7[Level 1], "&lt;&gt;")</f>
        <v>0</v>
      </c>
      <c r="G33">
        <f>COUNTIFS(table_v7[Fulfilled], "", table_v7[Level 1], "&lt;&gt;")</f>
        <v>0</v>
      </c>
    </row>
    <row r="34" spans="1:7">
      <c r="A34" t="s">
        <v>4</v>
      </c>
      <c r="B34">
        <f>COUNTA(table_v7[Level 2])</f>
        <v>0</v>
      </c>
      <c r="C34">
        <f>COUNTIFS(table_v7[Fulfilled], "Yes", table_v7[Level 2], "&lt;&gt;")</f>
        <v>0</v>
      </c>
      <c r="D34">
        <f>COUNTIFS(table_v7[Fulfilled], "No", table_v7[Level 2], "&lt;&gt;")</f>
        <v>0</v>
      </c>
      <c r="E34">
        <f>COUNTIFS(table_v7[Fulfilled], "Partially", table_v7[Level 2], "&lt;&gt;")</f>
        <v>0</v>
      </c>
      <c r="F34">
        <f>COUNTIFS(table_v7[Fulfilled], "Not applicable", table_v7[Level 2], "&lt;&gt;")</f>
        <v>0</v>
      </c>
      <c r="G34">
        <f>COUNTIFS(table_v7[Fulfilled], "", table_v7[Level 2], "&lt;&gt;")</f>
        <v>0</v>
      </c>
    </row>
    <row r="35" spans="1:7">
      <c r="A35" t="s">
        <v>5</v>
      </c>
      <c r="B35">
        <f>COUNTA(table_v7[Level 3])</f>
        <v>0</v>
      </c>
      <c r="C35">
        <f>COUNTIFS(table_v7[Fulfilled], "Yes", table_v7[Level 3], "&lt;&gt;")</f>
        <v>0</v>
      </c>
      <c r="D35">
        <f>COUNTIFS(table_v7[Fulfilled], "No", table_v7[Level 3], "&lt;&gt;")</f>
        <v>0</v>
      </c>
      <c r="E35">
        <f>COUNTIFS(table_v7[Fulfilled], "Partially", table_v7[Level 3], "&lt;&gt;")</f>
        <v>0</v>
      </c>
      <c r="F35">
        <f>COUNTIFS(table_v7[Fulfilled], "Not applicable", table_v7[Level 3], "&lt;&gt;")</f>
        <v>0</v>
      </c>
      <c r="G35">
        <f>COUNTIFS(table_v7[Fulfilled], "", table_v7[Level 3], "&lt;&gt;")</f>
        <v>0</v>
      </c>
    </row>
    <row r="36" spans="1:7">
      <c r="A36" s="1" t="s">
        <v>669</v>
      </c>
    </row>
    <row r="37" spans="1:7">
      <c r="A37" t="s">
        <v>656</v>
      </c>
      <c r="B37" t="s">
        <v>657</v>
      </c>
      <c r="C37" t="s">
        <v>658</v>
      </c>
      <c r="D37" t="s">
        <v>659</v>
      </c>
      <c r="E37" t="s">
        <v>660</v>
      </c>
      <c r="F37" t="s">
        <v>661</v>
      </c>
      <c r="G37" t="s">
        <v>662</v>
      </c>
    </row>
    <row r="38" spans="1:7">
      <c r="A38" t="s">
        <v>3</v>
      </c>
      <c r="B38">
        <f>COUNTA(table_v8[Level 1])</f>
        <v>0</v>
      </c>
      <c r="C38">
        <f>COUNTIFS(table_v8[Fulfilled], "Yes", table_v8[Level 1], "&lt;&gt;")</f>
        <v>0</v>
      </c>
      <c r="D38">
        <f>COUNTIFS(table_v8[Fulfilled], "No", table_v8[Level 1], "&lt;&gt;")</f>
        <v>0</v>
      </c>
      <c r="E38">
        <f>COUNTIFS(table_v8[Fulfilled], "Partially", table_v8[Level 1], "&lt;&gt;")</f>
        <v>0</v>
      </c>
      <c r="F38">
        <f>COUNTIFS(table_v8[Fulfilled], "Not applicable", table_v8[Level 1], "&lt;&gt;")</f>
        <v>0</v>
      </c>
      <c r="G38">
        <f>COUNTIFS(table_v8[Fulfilled], "", table_v8[Level 1], "&lt;&gt;")</f>
        <v>0</v>
      </c>
    </row>
    <row r="39" spans="1:7">
      <c r="A39" t="s">
        <v>4</v>
      </c>
      <c r="B39">
        <f>COUNTA(table_v8[Level 2])</f>
        <v>0</v>
      </c>
      <c r="C39">
        <f>COUNTIFS(table_v8[Fulfilled], "Yes", table_v8[Level 2], "&lt;&gt;")</f>
        <v>0</v>
      </c>
      <c r="D39">
        <f>COUNTIFS(table_v8[Fulfilled], "No", table_v8[Level 2], "&lt;&gt;")</f>
        <v>0</v>
      </c>
      <c r="E39">
        <f>COUNTIFS(table_v8[Fulfilled], "Partially", table_v8[Level 2], "&lt;&gt;")</f>
        <v>0</v>
      </c>
      <c r="F39">
        <f>COUNTIFS(table_v8[Fulfilled], "Not applicable", table_v8[Level 2], "&lt;&gt;")</f>
        <v>0</v>
      </c>
      <c r="G39">
        <f>COUNTIFS(table_v8[Fulfilled], "", table_v8[Level 2], "&lt;&gt;")</f>
        <v>0</v>
      </c>
    </row>
    <row r="40" spans="1:7">
      <c r="A40" t="s">
        <v>5</v>
      </c>
      <c r="B40">
        <f>COUNTA(table_v8[Level 3])</f>
        <v>0</v>
      </c>
      <c r="C40">
        <f>COUNTIFS(table_v8[Fulfilled], "Yes", table_v8[Level 3], "&lt;&gt;")</f>
        <v>0</v>
      </c>
      <c r="D40">
        <f>COUNTIFS(table_v8[Fulfilled], "No", table_v8[Level 3], "&lt;&gt;")</f>
        <v>0</v>
      </c>
      <c r="E40">
        <f>COUNTIFS(table_v8[Fulfilled], "Partially", table_v8[Level 3], "&lt;&gt;")</f>
        <v>0</v>
      </c>
      <c r="F40">
        <f>COUNTIFS(table_v8[Fulfilled], "Not applicable", table_v8[Level 3], "&lt;&gt;")</f>
        <v>0</v>
      </c>
      <c r="G40">
        <f>COUNTIFS(table_v8[Fulfilled], "", table_v8[Level 3], "&lt;&gt;")</f>
        <v>0</v>
      </c>
    </row>
    <row r="41" spans="1:7">
      <c r="A41" s="1" t="s">
        <v>670</v>
      </c>
    </row>
    <row r="42" spans="1:7">
      <c r="A42" t="s">
        <v>656</v>
      </c>
      <c r="B42" t="s">
        <v>657</v>
      </c>
      <c r="C42" t="s">
        <v>658</v>
      </c>
      <c r="D42" t="s">
        <v>659</v>
      </c>
      <c r="E42" t="s">
        <v>660</v>
      </c>
      <c r="F42" t="s">
        <v>661</v>
      </c>
      <c r="G42" t="s">
        <v>662</v>
      </c>
    </row>
    <row r="43" spans="1:7">
      <c r="A43" t="s">
        <v>3</v>
      </c>
      <c r="B43">
        <f>COUNTA(table_v9[Level 1])</f>
        <v>0</v>
      </c>
      <c r="C43">
        <f>COUNTIFS(table_v9[Fulfilled], "Yes", table_v9[Level 1], "&lt;&gt;")</f>
        <v>0</v>
      </c>
      <c r="D43">
        <f>COUNTIFS(table_v9[Fulfilled], "No", table_v9[Level 1], "&lt;&gt;")</f>
        <v>0</v>
      </c>
      <c r="E43">
        <f>COUNTIFS(table_v9[Fulfilled], "Partially", table_v9[Level 1], "&lt;&gt;")</f>
        <v>0</v>
      </c>
      <c r="F43">
        <f>COUNTIFS(table_v9[Fulfilled], "Not applicable", table_v9[Level 1], "&lt;&gt;")</f>
        <v>0</v>
      </c>
      <c r="G43">
        <f>COUNTIFS(table_v9[Fulfilled], "", table_v9[Level 1], "&lt;&gt;")</f>
        <v>0</v>
      </c>
    </row>
    <row r="44" spans="1:7">
      <c r="A44" t="s">
        <v>4</v>
      </c>
      <c r="B44">
        <f>COUNTA(table_v9[Level 2])</f>
        <v>0</v>
      </c>
      <c r="C44">
        <f>COUNTIFS(table_v9[Fulfilled], "Yes", table_v9[Level 2], "&lt;&gt;")</f>
        <v>0</v>
      </c>
      <c r="D44">
        <f>COUNTIFS(table_v9[Fulfilled], "No", table_v9[Level 2], "&lt;&gt;")</f>
        <v>0</v>
      </c>
      <c r="E44">
        <f>COUNTIFS(table_v9[Fulfilled], "Partially", table_v9[Level 2], "&lt;&gt;")</f>
        <v>0</v>
      </c>
      <c r="F44">
        <f>COUNTIFS(table_v9[Fulfilled], "Not applicable", table_v9[Level 2], "&lt;&gt;")</f>
        <v>0</v>
      </c>
      <c r="G44">
        <f>COUNTIFS(table_v9[Fulfilled], "", table_v9[Level 2], "&lt;&gt;")</f>
        <v>0</v>
      </c>
    </row>
    <row r="45" spans="1:7">
      <c r="A45" t="s">
        <v>5</v>
      </c>
      <c r="B45">
        <f>COUNTA(table_v9[Level 3])</f>
        <v>0</v>
      </c>
      <c r="C45">
        <f>COUNTIFS(table_v9[Fulfilled], "Yes", table_v9[Level 3], "&lt;&gt;")</f>
        <v>0</v>
      </c>
      <c r="D45">
        <f>COUNTIFS(table_v9[Fulfilled], "No", table_v9[Level 3], "&lt;&gt;")</f>
        <v>0</v>
      </c>
      <c r="E45">
        <f>COUNTIFS(table_v9[Fulfilled], "Partially", table_v9[Level 3], "&lt;&gt;")</f>
        <v>0</v>
      </c>
      <c r="F45">
        <f>COUNTIFS(table_v9[Fulfilled], "Not applicable", table_v9[Level 3], "&lt;&gt;")</f>
        <v>0</v>
      </c>
      <c r="G45">
        <f>COUNTIFS(table_v9[Fulfilled], "", table_v9[Level 3], "&lt;&gt;")</f>
        <v>0</v>
      </c>
    </row>
    <row r="46" spans="1:7">
      <c r="A46" s="1" t="s">
        <v>671</v>
      </c>
    </row>
    <row r="47" spans="1:7">
      <c r="A47" t="s">
        <v>656</v>
      </c>
      <c r="B47" t="s">
        <v>657</v>
      </c>
      <c r="C47" t="s">
        <v>658</v>
      </c>
      <c r="D47" t="s">
        <v>659</v>
      </c>
      <c r="E47" t="s">
        <v>660</v>
      </c>
      <c r="F47" t="s">
        <v>661</v>
      </c>
      <c r="G47" t="s">
        <v>662</v>
      </c>
    </row>
    <row r="48" spans="1:7">
      <c r="A48" t="s">
        <v>3</v>
      </c>
      <c r="B48">
        <f>COUNTA(table_v10[Level 1])</f>
        <v>0</v>
      </c>
      <c r="C48">
        <f>COUNTIFS(table_v10[Fulfilled], "Yes", table_v10[Level 1], "&lt;&gt;")</f>
        <v>0</v>
      </c>
      <c r="D48">
        <f>COUNTIFS(table_v10[Fulfilled], "No", table_v10[Level 1], "&lt;&gt;")</f>
        <v>0</v>
      </c>
      <c r="E48">
        <f>COUNTIFS(table_v10[Fulfilled], "Partially", table_v10[Level 1], "&lt;&gt;")</f>
        <v>0</v>
      </c>
      <c r="F48">
        <f>COUNTIFS(table_v10[Fulfilled], "Not applicable", table_v10[Level 1], "&lt;&gt;")</f>
        <v>0</v>
      </c>
      <c r="G48">
        <f>COUNTIFS(table_v10[Fulfilled], "", table_v10[Level 1], "&lt;&gt;")</f>
        <v>0</v>
      </c>
    </row>
    <row r="49" spans="1:7">
      <c r="A49" t="s">
        <v>4</v>
      </c>
      <c r="B49">
        <f>COUNTA(table_v10[Level 2])</f>
        <v>0</v>
      </c>
      <c r="C49">
        <f>COUNTIFS(table_v10[Fulfilled], "Yes", table_v10[Level 2], "&lt;&gt;")</f>
        <v>0</v>
      </c>
      <c r="D49">
        <f>COUNTIFS(table_v10[Fulfilled], "No", table_v10[Level 2], "&lt;&gt;")</f>
        <v>0</v>
      </c>
      <c r="E49">
        <f>COUNTIFS(table_v10[Fulfilled], "Partially", table_v10[Level 2], "&lt;&gt;")</f>
        <v>0</v>
      </c>
      <c r="F49">
        <f>COUNTIFS(table_v10[Fulfilled], "Not applicable", table_v10[Level 2], "&lt;&gt;")</f>
        <v>0</v>
      </c>
      <c r="G49">
        <f>COUNTIFS(table_v10[Fulfilled], "", table_v10[Level 2], "&lt;&gt;")</f>
        <v>0</v>
      </c>
    </row>
    <row r="50" spans="1:7">
      <c r="A50" t="s">
        <v>5</v>
      </c>
      <c r="B50">
        <f>COUNTA(table_v10[Level 3])</f>
        <v>0</v>
      </c>
      <c r="C50">
        <f>COUNTIFS(table_v10[Fulfilled], "Yes", table_v10[Level 3], "&lt;&gt;")</f>
        <v>0</v>
      </c>
      <c r="D50">
        <f>COUNTIFS(table_v10[Fulfilled], "No", table_v10[Level 3], "&lt;&gt;")</f>
        <v>0</v>
      </c>
      <c r="E50">
        <f>COUNTIFS(table_v10[Fulfilled], "Partially", table_v10[Level 3], "&lt;&gt;")</f>
        <v>0</v>
      </c>
      <c r="F50">
        <f>COUNTIFS(table_v10[Fulfilled], "Not applicable", table_v10[Level 3], "&lt;&gt;")</f>
        <v>0</v>
      </c>
      <c r="G50">
        <f>COUNTIFS(table_v10[Fulfilled], "", table_v10[Level 3], "&lt;&gt;")</f>
        <v>0</v>
      </c>
    </row>
    <row r="51" spans="1:7">
      <c r="A51" s="1" t="s">
        <v>672</v>
      </c>
    </row>
    <row r="52" spans="1:7">
      <c r="A52" t="s">
        <v>656</v>
      </c>
      <c r="B52" t="s">
        <v>657</v>
      </c>
      <c r="C52" t="s">
        <v>658</v>
      </c>
      <c r="D52" t="s">
        <v>659</v>
      </c>
      <c r="E52" t="s">
        <v>660</v>
      </c>
      <c r="F52" t="s">
        <v>661</v>
      </c>
      <c r="G52" t="s">
        <v>662</v>
      </c>
    </row>
    <row r="53" spans="1:7">
      <c r="A53" t="s">
        <v>3</v>
      </c>
      <c r="B53">
        <f>COUNTA(table_v11[Level 1])</f>
        <v>0</v>
      </c>
      <c r="C53">
        <f>COUNTIFS(table_v11[Fulfilled], "Yes", table_v11[Level 1], "&lt;&gt;")</f>
        <v>0</v>
      </c>
      <c r="D53">
        <f>COUNTIFS(table_v11[Fulfilled], "No", table_v11[Level 1], "&lt;&gt;")</f>
        <v>0</v>
      </c>
      <c r="E53">
        <f>COUNTIFS(table_v11[Fulfilled], "Partially", table_v11[Level 1], "&lt;&gt;")</f>
        <v>0</v>
      </c>
      <c r="F53">
        <f>COUNTIFS(table_v11[Fulfilled], "Not applicable", table_v11[Level 1], "&lt;&gt;")</f>
        <v>0</v>
      </c>
      <c r="G53">
        <f>COUNTIFS(table_v11[Fulfilled], "", table_v11[Level 1], "&lt;&gt;")</f>
        <v>0</v>
      </c>
    </row>
    <row r="54" spans="1:7">
      <c r="A54" t="s">
        <v>4</v>
      </c>
      <c r="B54">
        <f>COUNTA(table_v11[Level 2])</f>
        <v>0</v>
      </c>
      <c r="C54">
        <f>COUNTIFS(table_v11[Fulfilled], "Yes", table_v11[Level 2], "&lt;&gt;")</f>
        <v>0</v>
      </c>
      <c r="D54">
        <f>COUNTIFS(table_v11[Fulfilled], "No", table_v11[Level 2], "&lt;&gt;")</f>
        <v>0</v>
      </c>
      <c r="E54">
        <f>COUNTIFS(table_v11[Fulfilled], "Partially", table_v11[Level 2], "&lt;&gt;")</f>
        <v>0</v>
      </c>
      <c r="F54">
        <f>COUNTIFS(table_v11[Fulfilled], "Not applicable", table_v11[Level 2], "&lt;&gt;")</f>
        <v>0</v>
      </c>
      <c r="G54">
        <f>COUNTIFS(table_v11[Fulfilled], "", table_v11[Level 2], "&lt;&gt;")</f>
        <v>0</v>
      </c>
    </row>
    <row r="55" spans="1:7">
      <c r="A55" t="s">
        <v>5</v>
      </c>
      <c r="B55">
        <f>COUNTA(table_v11[Level 3])</f>
        <v>0</v>
      </c>
      <c r="C55">
        <f>COUNTIFS(table_v11[Fulfilled], "Yes", table_v11[Level 3], "&lt;&gt;")</f>
        <v>0</v>
      </c>
      <c r="D55">
        <f>COUNTIFS(table_v11[Fulfilled], "No", table_v11[Level 3], "&lt;&gt;")</f>
        <v>0</v>
      </c>
      <c r="E55">
        <f>COUNTIFS(table_v11[Fulfilled], "Partially", table_v11[Level 3], "&lt;&gt;")</f>
        <v>0</v>
      </c>
      <c r="F55">
        <f>COUNTIFS(table_v11[Fulfilled], "Not applicable", table_v11[Level 3], "&lt;&gt;")</f>
        <v>0</v>
      </c>
      <c r="G55">
        <f>COUNTIFS(table_v11[Fulfilled], "", table_v11[Level 3], "&lt;&gt;")</f>
        <v>0</v>
      </c>
    </row>
    <row r="56" spans="1:7">
      <c r="A56" s="1" t="s">
        <v>673</v>
      </c>
    </row>
    <row r="57" spans="1:7">
      <c r="A57" t="s">
        <v>656</v>
      </c>
      <c r="B57" t="s">
        <v>657</v>
      </c>
      <c r="C57" t="s">
        <v>658</v>
      </c>
      <c r="D57" t="s">
        <v>659</v>
      </c>
      <c r="E57" t="s">
        <v>660</v>
      </c>
      <c r="F57" t="s">
        <v>661</v>
      </c>
      <c r="G57" t="s">
        <v>662</v>
      </c>
    </row>
    <row r="58" spans="1:7">
      <c r="A58" t="s">
        <v>3</v>
      </c>
      <c r="B58">
        <f>COUNTA(table_v12[Level 1])</f>
        <v>0</v>
      </c>
      <c r="C58">
        <f>COUNTIFS(table_v12[Fulfilled], "Yes", table_v12[Level 1], "&lt;&gt;")</f>
        <v>0</v>
      </c>
      <c r="D58">
        <f>COUNTIFS(table_v12[Fulfilled], "No", table_v12[Level 1], "&lt;&gt;")</f>
        <v>0</v>
      </c>
      <c r="E58">
        <f>COUNTIFS(table_v12[Fulfilled], "Partially", table_v12[Level 1], "&lt;&gt;")</f>
        <v>0</v>
      </c>
      <c r="F58">
        <f>COUNTIFS(table_v12[Fulfilled], "Not applicable", table_v12[Level 1], "&lt;&gt;")</f>
        <v>0</v>
      </c>
      <c r="G58">
        <f>COUNTIFS(table_v12[Fulfilled], "", table_v12[Level 1], "&lt;&gt;")</f>
        <v>0</v>
      </c>
    </row>
    <row r="59" spans="1:7">
      <c r="A59" t="s">
        <v>4</v>
      </c>
      <c r="B59">
        <f>COUNTA(table_v12[Level 2])</f>
        <v>0</v>
      </c>
      <c r="C59">
        <f>COUNTIFS(table_v12[Fulfilled], "Yes", table_v12[Level 2], "&lt;&gt;")</f>
        <v>0</v>
      </c>
      <c r="D59">
        <f>COUNTIFS(table_v12[Fulfilled], "No", table_v12[Level 2], "&lt;&gt;")</f>
        <v>0</v>
      </c>
      <c r="E59">
        <f>COUNTIFS(table_v12[Fulfilled], "Partially", table_v12[Level 2], "&lt;&gt;")</f>
        <v>0</v>
      </c>
      <c r="F59">
        <f>COUNTIFS(table_v12[Fulfilled], "Not applicable", table_v12[Level 2], "&lt;&gt;")</f>
        <v>0</v>
      </c>
      <c r="G59">
        <f>COUNTIFS(table_v12[Fulfilled], "", table_v12[Level 2], "&lt;&gt;")</f>
        <v>0</v>
      </c>
    </row>
    <row r="60" spans="1:7">
      <c r="A60" t="s">
        <v>5</v>
      </c>
      <c r="B60">
        <f>COUNTA(table_v12[Level 3])</f>
        <v>0</v>
      </c>
      <c r="C60">
        <f>COUNTIFS(table_v12[Fulfilled], "Yes", table_v12[Level 3], "&lt;&gt;")</f>
        <v>0</v>
      </c>
      <c r="D60">
        <f>COUNTIFS(table_v12[Fulfilled], "No", table_v12[Level 3], "&lt;&gt;")</f>
        <v>0</v>
      </c>
      <c r="E60">
        <f>COUNTIFS(table_v12[Fulfilled], "Partially", table_v12[Level 3], "&lt;&gt;")</f>
        <v>0</v>
      </c>
      <c r="F60">
        <f>COUNTIFS(table_v12[Fulfilled], "Not applicable", table_v12[Level 3], "&lt;&gt;")</f>
        <v>0</v>
      </c>
      <c r="G60">
        <f>COUNTIFS(table_v12[Fulfilled], "", table_v12[Level 3], "&lt;&gt;")</f>
        <v>0</v>
      </c>
    </row>
    <row r="61" spans="1:7">
      <c r="A61" s="1" t="s">
        <v>674</v>
      </c>
    </row>
    <row r="62" spans="1:7">
      <c r="A62" t="s">
        <v>656</v>
      </c>
      <c r="B62" t="s">
        <v>657</v>
      </c>
      <c r="C62" t="s">
        <v>658</v>
      </c>
      <c r="D62" t="s">
        <v>659</v>
      </c>
      <c r="E62" t="s">
        <v>660</v>
      </c>
      <c r="F62" t="s">
        <v>661</v>
      </c>
      <c r="G62" t="s">
        <v>662</v>
      </c>
    </row>
    <row r="63" spans="1:7">
      <c r="A63" t="s">
        <v>3</v>
      </c>
      <c r="B63">
        <f>COUNTA(table_v13[Level 1])</f>
        <v>0</v>
      </c>
      <c r="C63">
        <f>COUNTIFS(table_v13[Fulfilled], "Yes", table_v13[Level 1], "&lt;&gt;")</f>
        <v>0</v>
      </c>
      <c r="D63">
        <f>COUNTIFS(table_v13[Fulfilled], "No", table_v13[Level 1], "&lt;&gt;")</f>
        <v>0</v>
      </c>
      <c r="E63">
        <f>COUNTIFS(table_v13[Fulfilled], "Partially", table_v13[Level 1], "&lt;&gt;")</f>
        <v>0</v>
      </c>
      <c r="F63">
        <f>COUNTIFS(table_v13[Fulfilled], "Not applicable", table_v13[Level 1], "&lt;&gt;")</f>
        <v>0</v>
      </c>
      <c r="G63">
        <f>COUNTIFS(table_v13[Fulfilled], "", table_v13[Level 1], "&lt;&gt;")</f>
        <v>0</v>
      </c>
    </row>
    <row r="64" spans="1:7">
      <c r="A64" t="s">
        <v>4</v>
      </c>
      <c r="B64">
        <f>COUNTA(table_v13[Level 2])</f>
        <v>0</v>
      </c>
      <c r="C64">
        <f>COUNTIFS(table_v13[Fulfilled], "Yes", table_v13[Level 2], "&lt;&gt;")</f>
        <v>0</v>
      </c>
      <c r="D64">
        <f>COUNTIFS(table_v13[Fulfilled], "No", table_v13[Level 2], "&lt;&gt;")</f>
        <v>0</v>
      </c>
      <c r="E64">
        <f>COUNTIFS(table_v13[Fulfilled], "Partially", table_v13[Level 2], "&lt;&gt;")</f>
        <v>0</v>
      </c>
      <c r="F64">
        <f>COUNTIFS(table_v13[Fulfilled], "Not applicable", table_v13[Level 2], "&lt;&gt;")</f>
        <v>0</v>
      </c>
      <c r="G64">
        <f>COUNTIFS(table_v13[Fulfilled], "", table_v13[Level 2], "&lt;&gt;")</f>
        <v>0</v>
      </c>
    </row>
    <row r="65" spans="1:7">
      <c r="A65" t="s">
        <v>5</v>
      </c>
      <c r="B65">
        <f>COUNTA(table_v13[Level 3])</f>
        <v>0</v>
      </c>
      <c r="C65">
        <f>COUNTIFS(table_v13[Fulfilled], "Yes", table_v13[Level 3], "&lt;&gt;")</f>
        <v>0</v>
      </c>
      <c r="D65">
        <f>COUNTIFS(table_v13[Fulfilled], "No", table_v13[Level 3], "&lt;&gt;")</f>
        <v>0</v>
      </c>
      <c r="E65">
        <f>COUNTIFS(table_v13[Fulfilled], "Partially", table_v13[Level 3], "&lt;&gt;")</f>
        <v>0</v>
      </c>
      <c r="F65">
        <f>COUNTIFS(table_v13[Fulfilled], "Not applicable", table_v13[Level 3], "&lt;&gt;")</f>
        <v>0</v>
      </c>
      <c r="G65">
        <f>COUNTIFS(table_v13[Fulfilled], "", table_v13[Level 3], "&lt;&gt;")</f>
        <v>0</v>
      </c>
    </row>
    <row r="66" spans="1:7">
      <c r="A66" s="1" t="s">
        <v>675</v>
      </c>
    </row>
    <row r="67" spans="1:7">
      <c r="A67" t="s">
        <v>656</v>
      </c>
      <c r="B67" t="s">
        <v>657</v>
      </c>
      <c r="C67" t="s">
        <v>658</v>
      </c>
      <c r="D67" t="s">
        <v>659</v>
      </c>
      <c r="E67" t="s">
        <v>660</v>
      </c>
      <c r="F67" t="s">
        <v>661</v>
      </c>
      <c r="G67" t="s">
        <v>662</v>
      </c>
    </row>
    <row r="68" spans="1:7">
      <c r="A68" t="s">
        <v>3</v>
      </c>
      <c r="B68">
        <f>COUNTA(table_v14[Level 1])</f>
        <v>0</v>
      </c>
      <c r="C68">
        <f>COUNTIFS(table_v14[Fulfilled], "Yes", table_v14[Level 1], "&lt;&gt;")</f>
        <v>0</v>
      </c>
      <c r="D68">
        <f>COUNTIFS(table_v14[Fulfilled], "No", table_v14[Level 1], "&lt;&gt;")</f>
        <v>0</v>
      </c>
      <c r="E68">
        <f>COUNTIFS(table_v14[Fulfilled], "Partially", table_v14[Level 1], "&lt;&gt;")</f>
        <v>0</v>
      </c>
      <c r="F68">
        <f>COUNTIFS(table_v14[Fulfilled], "Not applicable", table_v14[Level 1], "&lt;&gt;")</f>
        <v>0</v>
      </c>
      <c r="G68">
        <f>COUNTIFS(table_v14[Fulfilled], "", table_v14[Level 1], "&lt;&gt;")</f>
        <v>0</v>
      </c>
    </row>
    <row r="69" spans="1:7">
      <c r="A69" t="s">
        <v>4</v>
      </c>
      <c r="B69">
        <f>COUNTA(table_v14[Level 2])</f>
        <v>0</v>
      </c>
      <c r="C69">
        <f>COUNTIFS(table_v14[Fulfilled], "Yes", table_v14[Level 2], "&lt;&gt;")</f>
        <v>0</v>
      </c>
      <c r="D69">
        <f>COUNTIFS(table_v14[Fulfilled], "No", table_v14[Level 2], "&lt;&gt;")</f>
        <v>0</v>
      </c>
      <c r="E69">
        <f>COUNTIFS(table_v14[Fulfilled], "Partially", table_v14[Level 2], "&lt;&gt;")</f>
        <v>0</v>
      </c>
      <c r="F69">
        <f>COUNTIFS(table_v14[Fulfilled], "Not applicable", table_v14[Level 2], "&lt;&gt;")</f>
        <v>0</v>
      </c>
      <c r="G69">
        <f>COUNTIFS(table_v14[Fulfilled], "", table_v14[Level 2], "&lt;&gt;")</f>
        <v>0</v>
      </c>
    </row>
    <row r="70" spans="1:7">
      <c r="A70" t="s">
        <v>5</v>
      </c>
      <c r="B70">
        <f>COUNTA(table_v14[Level 3])</f>
        <v>0</v>
      </c>
      <c r="C70">
        <f>COUNTIFS(table_v14[Fulfilled], "Yes", table_v14[Level 3], "&lt;&gt;")</f>
        <v>0</v>
      </c>
      <c r="D70">
        <f>COUNTIFS(table_v14[Fulfilled], "No", table_v14[Level 3], "&lt;&gt;")</f>
        <v>0</v>
      </c>
      <c r="E70">
        <f>COUNTIFS(table_v14[Fulfilled], "Partially", table_v14[Level 3], "&lt;&gt;")</f>
        <v>0</v>
      </c>
      <c r="F70">
        <f>COUNTIFS(table_v14[Fulfilled], "Not applicable", table_v14[Level 3], "&lt;&gt;")</f>
        <v>0</v>
      </c>
      <c r="G70">
        <f>COUNTIFS(table_v14[Fulfilled], "", table_v14[Level 3], "&lt;&gt;")</f>
        <v>0</v>
      </c>
    </row>
    <row r="71" spans="1:7">
      <c r="A71" s="1" t="s">
        <v>676</v>
      </c>
    </row>
    <row r="72" spans="1:7">
      <c r="A72" t="s">
        <v>656</v>
      </c>
      <c r="B72" t="s">
        <v>657</v>
      </c>
      <c r="C72" t="s">
        <v>658</v>
      </c>
      <c r="D72" t="s">
        <v>659</v>
      </c>
      <c r="E72" t="s">
        <v>660</v>
      </c>
      <c r="F72" t="s">
        <v>661</v>
      </c>
      <c r="G72" t="s">
        <v>662</v>
      </c>
    </row>
    <row r="73" spans="1:7">
      <c r="A73" t="s">
        <v>3</v>
      </c>
      <c r="B73">
        <f>SUM(B3,B8,B13,B18,B23,B28,B33,B38,B43,B48,B53,B58,B63,B68)</f>
        <v>0</v>
      </c>
      <c r="C73">
        <f>SUM(C3,C8,C13,C18,C23,C28,C33,C38,C43,C48,C53,C58,C63,C68)</f>
        <v>0</v>
      </c>
      <c r="D73">
        <f>SUM(D3,D8,D13,D18,D23,D28,D33,D38,D43,D48,D53,D58,D63,D68)</f>
        <v>0</v>
      </c>
      <c r="E73">
        <f>SUM(E3,E8,E13,E18,E23,E28,E33,E38,E43,E48,E53,E58,E63,E68)</f>
        <v>0</v>
      </c>
      <c r="F73">
        <f>SUM(F3,F8,F13,F18,F23,F28,F33,F38,F43,F48,F53,F58,F63,F68)</f>
        <v>0</v>
      </c>
      <c r="G73">
        <f>SUM(G3,G8,G13,G18,G23,G28,G33,G38,G43,G48,G53,G58,G63,G68)</f>
        <v>0</v>
      </c>
    </row>
    <row r="74" spans="1:7">
      <c r="A74" t="s">
        <v>4</v>
      </c>
      <c r="B74">
        <f>SUM(B4,B9,B14,B19,B24,B29,B34,B39,B44,B49,B54,B59,B64,B69)</f>
        <v>0</v>
      </c>
      <c r="C74">
        <f>SUM(C4,C9,C14,C19,C24,C29,C34,C39,C44,C49,C54,C59,C64,C69)</f>
        <v>0</v>
      </c>
      <c r="D74">
        <f>SUM(D4,D9,D14,D19,D24,D29,D34,D39,D44,D49,D54,D59,D64,D69)</f>
        <v>0</v>
      </c>
      <c r="E74">
        <f>SUM(E4,E9,E14,E19,E24,E29,E34,E39,E44,E49,E54,E59,E64,E69)</f>
        <v>0</v>
      </c>
      <c r="F74">
        <f>SUM(F4,F9,F14,F19,F24,F29,F34,F39,F44,F49,F54,F59,F64,F69)</f>
        <v>0</v>
      </c>
      <c r="G74">
        <f>SUM(G4,G9,G14,G19,G24,G29,G34,G39,G44,G49,G54,G59,G64,G69)</f>
        <v>0</v>
      </c>
    </row>
    <row r="75" spans="1:7">
      <c r="A75" t="s">
        <v>5</v>
      </c>
      <c r="B75">
        <f>SUM(B5,B10,B15,B20,B25,B30,B35,B40,B45,B50,B55,B60,B65)</f>
        <v>0</v>
      </c>
      <c r="C75">
        <f>SUM(C5,C10,C15,C20,C25,C30,C35,C40,C45,C50,C55,C60,C65)</f>
        <v>0</v>
      </c>
      <c r="D75">
        <f>SUM(D5,D10,D15,D20,D25,D30,D35,D40,D45,D50,D55,D60,D65)</f>
        <v>0</v>
      </c>
      <c r="E75">
        <f>SUM(E5,E10,E15,E20,E25,E30,E35,E40,E45,E50,E55,E60,E65)</f>
        <v>0</v>
      </c>
      <c r="F75">
        <f>SUM(F5,F10,F15,F20,F25,F30,F35,F40,F45,F50,F55,F60,F65)</f>
        <v>0</v>
      </c>
      <c r="G75">
        <f>SUM(G5,G10,G15,G20,G25,G30,G35,G40,G45,G50,G55,G60,G65)</f>
        <v>0</v>
      </c>
    </row>
  </sheetData>
  <mergeCells count="15">
    <mergeCell ref="A1:F1"/>
    <mergeCell ref="A6:F6"/>
    <mergeCell ref="A11:F11"/>
    <mergeCell ref="A16:F16"/>
    <mergeCell ref="A21:F21"/>
    <mergeCell ref="A26:F26"/>
    <mergeCell ref="A31:F31"/>
    <mergeCell ref="A36:F36"/>
    <mergeCell ref="A41:F41"/>
    <mergeCell ref="A46:F46"/>
    <mergeCell ref="A51:F51"/>
    <mergeCell ref="A56:F56"/>
    <mergeCell ref="A61:F61"/>
    <mergeCell ref="A66:F66"/>
    <mergeCell ref="A71:F71"/>
  </mergeCells>
  <pageMargins left="0.7" right="0.7" top="0.75" bottom="0.75" header="0.3" footer="0.3"/>
  <drawing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2.xml><?xml version="1.0" encoding="utf-8"?>
<worksheet xmlns="http://schemas.openxmlformats.org/spreadsheetml/2006/main" xmlns:r="http://schemas.openxmlformats.org/officeDocument/2006/relationships">
  <dimension ref="A1:H43"/>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8</v>
      </c>
      <c r="B2" s="3" t="s">
        <v>9</v>
      </c>
      <c r="C2" s="4" t="s">
        <v>10</v>
      </c>
      <c r="D2" s="5"/>
      <c r="E2" s="6" t="s">
        <v>11</v>
      </c>
      <c r="F2" s="7" t="s">
        <v>11</v>
      </c>
      <c r="G2" s="8"/>
      <c r="H2" s="4"/>
    </row>
    <row r="3" spans="1:8">
      <c r="A3" s="2" t="s">
        <v>12</v>
      </c>
      <c r="B3" s="3" t="s">
        <v>9</v>
      </c>
      <c r="C3" s="4" t="s">
        <v>13</v>
      </c>
      <c r="D3" s="5"/>
      <c r="E3" s="6" t="s">
        <v>11</v>
      </c>
      <c r="F3" s="7" t="s">
        <v>11</v>
      </c>
      <c r="G3" s="8"/>
      <c r="H3" s="4"/>
    </row>
    <row r="4" spans="1:8">
      <c r="A4" s="2" t="s">
        <v>14</v>
      </c>
      <c r="B4" s="3" t="s">
        <v>9</v>
      </c>
      <c r="C4" s="4" t="s">
        <v>15</v>
      </c>
      <c r="D4" s="5"/>
      <c r="E4" s="6" t="s">
        <v>11</v>
      </c>
      <c r="F4" s="7" t="s">
        <v>11</v>
      </c>
      <c r="G4" s="8"/>
      <c r="H4" s="4"/>
    </row>
    <row r="5" spans="1:8">
      <c r="A5" s="2" t="s">
        <v>16</v>
      </c>
      <c r="B5" s="3" t="s">
        <v>9</v>
      </c>
      <c r="C5" s="4" t="s">
        <v>17</v>
      </c>
      <c r="D5" s="5"/>
      <c r="E5" s="6" t="s">
        <v>11</v>
      </c>
      <c r="F5" s="7" t="s">
        <v>11</v>
      </c>
      <c r="G5" s="8"/>
      <c r="H5" s="4"/>
    </row>
    <row r="6" spans="1:8">
      <c r="A6" s="2" t="s">
        <v>18</v>
      </c>
      <c r="B6" s="3" t="s">
        <v>9</v>
      </c>
      <c r="C6" s="4" t="s">
        <v>19</v>
      </c>
      <c r="D6" s="5"/>
      <c r="E6" s="6" t="s">
        <v>11</v>
      </c>
      <c r="F6" s="7" t="s">
        <v>11</v>
      </c>
      <c r="G6" s="8"/>
      <c r="H6" s="4"/>
    </row>
    <row r="7" spans="1:8">
      <c r="A7" s="2" t="s">
        <v>20</v>
      </c>
      <c r="B7" s="3" t="s">
        <v>9</v>
      </c>
      <c r="C7" s="4" t="s">
        <v>21</v>
      </c>
      <c r="D7" s="5"/>
      <c r="E7" s="6" t="s">
        <v>11</v>
      </c>
      <c r="F7" s="7" t="s">
        <v>11</v>
      </c>
      <c r="G7" s="8"/>
      <c r="H7" s="4"/>
    </row>
    <row r="8" spans="1:8">
      <c r="A8" s="2" t="s">
        <v>22</v>
      </c>
      <c r="B8" s="3" t="s">
        <v>9</v>
      </c>
      <c r="C8" s="4" t="s">
        <v>23</v>
      </c>
      <c r="D8" s="5"/>
      <c r="E8" s="6" t="s">
        <v>11</v>
      </c>
      <c r="F8" s="7" t="s">
        <v>11</v>
      </c>
      <c r="G8" s="8"/>
      <c r="H8" s="4"/>
    </row>
    <row r="9" spans="1:8">
      <c r="A9" s="2" t="s">
        <v>24</v>
      </c>
      <c r="B9" s="3" t="s">
        <v>25</v>
      </c>
      <c r="C9" s="4" t="s">
        <v>26</v>
      </c>
      <c r="D9" s="5"/>
      <c r="E9" s="6" t="s">
        <v>11</v>
      </c>
      <c r="F9" s="7" t="s">
        <v>11</v>
      </c>
      <c r="G9" s="8"/>
      <c r="H9" s="4"/>
    </row>
    <row r="10" spans="1:8">
      <c r="A10" s="2" t="s">
        <v>27</v>
      </c>
      <c r="B10" s="3" t="s">
        <v>25</v>
      </c>
      <c r="C10" s="4" t="s">
        <v>28</v>
      </c>
      <c r="D10" s="5"/>
      <c r="E10" s="6" t="s">
        <v>11</v>
      </c>
      <c r="F10" s="7" t="s">
        <v>11</v>
      </c>
      <c r="G10" s="8"/>
      <c r="H10" s="4"/>
    </row>
    <row r="11" spans="1:8">
      <c r="A11" s="2" t="s">
        <v>29</v>
      </c>
      <c r="B11" s="3" t="s">
        <v>25</v>
      </c>
      <c r="C11" s="4" t="s">
        <v>30</v>
      </c>
      <c r="D11" s="5"/>
      <c r="E11" s="6" t="s">
        <v>11</v>
      </c>
      <c r="F11" s="7" t="s">
        <v>11</v>
      </c>
      <c r="G11" s="8"/>
      <c r="H11" s="4"/>
    </row>
    <row r="12" spans="1:8">
      <c r="A12" s="2" t="s">
        <v>31</v>
      </c>
      <c r="B12" s="3" t="s">
        <v>25</v>
      </c>
      <c r="C12" s="4" t="s">
        <v>32</v>
      </c>
      <c r="D12" s="5"/>
      <c r="E12" s="6" t="s">
        <v>11</v>
      </c>
      <c r="F12" s="7" t="s">
        <v>11</v>
      </c>
      <c r="G12" s="8"/>
      <c r="H12" s="4"/>
    </row>
    <row r="13" spans="1:8">
      <c r="A13" s="2" t="s">
        <v>33</v>
      </c>
      <c r="B13" s="3" t="s">
        <v>34</v>
      </c>
      <c r="C13" s="4" t="s">
        <v>35</v>
      </c>
      <c r="D13" s="5"/>
      <c r="E13" s="6" t="s">
        <v>11</v>
      </c>
      <c r="F13" s="7" t="s">
        <v>11</v>
      </c>
      <c r="G13" s="8"/>
      <c r="H13" s="4"/>
    </row>
    <row r="14" spans="1:8">
      <c r="A14" s="2" t="s">
        <v>36</v>
      </c>
      <c r="B14" s="3" t="s">
        <v>34</v>
      </c>
      <c r="C14" s="4" t="s">
        <v>37</v>
      </c>
      <c r="D14" s="5"/>
      <c r="E14" s="6"/>
      <c r="F14" s="7"/>
      <c r="G14" s="8"/>
      <c r="H14" s="4"/>
    </row>
    <row r="15" spans="1:8">
      <c r="A15" s="2" t="s">
        <v>38</v>
      </c>
      <c r="B15" s="3" t="s">
        <v>34</v>
      </c>
      <c r="C15" s="4" t="s">
        <v>39</v>
      </c>
      <c r="D15" s="5"/>
      <c r="E15" s="6"/>
      <c r="F15" s="7"/>
      <c r="G15" s="8"/>
      <c r="H15" s="4"/>
    </row>
    <row r="16" spans="1:8">
      <c r="A16" s="2" t="s">
        <v>40</v>
      </c>
      <c r="B16" s="3" t="s">
        <v>34</v>
      </c>
      <c r="C16" s="4" t="s">
        <v>41</v>
      </c>
      <c r="D16" s="5"/>
      <c r="E16" s="6" t="s">
        <v>11</v>
      </c>
      <c r="F16" s="7" t="s">
        <v>11</v>
      </c>
      <c r="G16" s="8"/>
      <c r="H16" s="4"/>
    </row>
    <row r="17" spans="1:8">
      <c r="A17" s="2" t="s">
        <v>42</v>
      </c>
      <c r="B17" s="3" t="s">
        <v>34</v>
      </c>
      <c r="C17" s="4" t="s">
        <v>43</v>
      </c>
      <c r="D17" s="5"/>
      <c r="E17" s="6" t="s">
        <v>11</v>
      </c>
      <c r="F17" s="7" t="s">
        <v>11</v>
      </c>
      <c r="G17" s="8"/>
      <c r="H17" s="4"/>
    </row>
    <row r="18" spans="1:8">
      <c r="A18" s="2" t="s">
        <v>44</v>
      </c>
      <c r="B18" s="3" t="s">
        <v>45</v>
      </c>
      <c r="C18" s="4" t="s">
        <v>46</v>
      </c>
      <c r="D18" s="5"/>
      <c r="E18" s="6" t="s">
        <v>11</v>
      </c>
      <c r="F18" s="7" t="s">
        <v>11</v>
      </c>
      <c r="G18" s="8"/>
      <c r="H18" s="4"/>
    </row>
    <row r="19" spans="1:8">
      <c r="A19" s="2" t="s">
        <v>47</v>
      </c>
      <c r="B19" s="3" t="s">
        <v>45</v>
      </c>
      <c r="C19" s="4" t="s">
        <v>48</v>
      </c>
      <c r="D19" s="5"/>
      <c r="E19" s="6" t="s">
        <v>11</v>
      </c>
      <c r="F19" s="7" t="s">
        <v>11</v>
      </c>
      <c r="G19" s="8"/>
      <c r="H19" s="4"/>
    </row>
    <row r="20" spans="1:8">
      <c r="A20" s="2" t="s">
        <v>49</v>
      </c>
      <c r="B20" s="3" t="s">
        <v>45</v>
      </c>
      <c r="C20" s="4" t="s">
        <v>50</v>
      </c>
      <c r="D20" s="5"/>
      <c r="E20" s="6" t="s">
        <v>11</v>
      </c>
      <c r="F20" s="7" t="s">
        <v>11</v>
      </c>
      <c r="G20" s="8"/>
      <c r="H20" s="4"/>
    </row>
    <row r="21" spans="1:8">
      <c r="A21" s="2" t="s">
        <v>51</v>
      </c>
      <c r="B21" s="3" t="s">
        <v>45</v>
      </c>
      <c r="C21" s="4" t="s">
        <v>52</v>
      </c>
      <c r="D21" s="5"/>
      <c r="E21" s="6" t="s">
        <v>11</v>
      </c>
      <c r="F21" s="7" t="s">
        <v>11</v>
      </c>
      <c r="G21" s="8"/>
      <c r="H21" s="4"/>
    </row>
    <row r="22" spans="1:8">
      <c r="A22" s="2" t="s">
        <v>53</v>
      </c>
      <c r="B22" s="3" t="s">
        <v>54</v>
      </c>
      <c r="C22" s="4" t="s">
        <v>55</v>
      </c>
      <c r="D22" s="5"/>
      <c r="E22" s="6" t="s">
        <v>11</v>
      </c>
      <c r="F22" s="7" t="s">
        <v>11</v>
      </c>
      <c r="G22" s="8"/>
      <c r="H22" s="4"/>
    </row>
    <row r="23" spans="1:8">
      <c r="A23" s="2" t="s">
        <v>56</v>
      </c>
      <c r="B23" s="3" t="s">
        <v>54</v>
      </c>
      <c r="C23" s="4" t="s">
        <v>57</v>
      </c>
      <c r="D23" s="5"/>
      <c r="E23" s="6" t="s">
        <v>11</v>
      </c>
      <c r="F23" s="7" t="s">
        <v>11</v>
      </c>
      <c r="G23" s="8"/>
      <c r="H23" s="4"/>
    </row>
    <row r="24" spans="1:8">
      <c r="A24" s="2" t="s">
        <v>58</v>
      </c>
      <c r="B24" s="3" t="s">
        <v>54</v>
      </c>
      <c r="C24" s="4" t="s">
        <v>59</v>
      </c>
      <c r="D24" s="5"/>
      <c r="E24" s="6" t="s">
        <v>11</v>
      </c>
      <c r="F24" s="7" t="s">
        <v>11</v>
      </c>
      <c r="G24" s="8"/>
      <c r="H24" s="4"/>
    </row>
    <row r="25" spans="1:8">
      <c r="A25" s="2" t="s">
        <v>60</v>
      </c>
      <c r="B25" s="3" t="s">
        <v>54</v>
      </c>
      <c r="C25" s="4" t="s">
        <v>61</v>
      </c>
      <c r="D25" s="5"/>
      <c r="E25" s="6" t="s">
        <v>11</v>
      </c>
      <c r="F25" s="7" t="s">
        <v>11</v>
      </c>
      <c r="G25" s="8"/>
      <c r="H25" s="4"/>
    </row>
    <row r="26" spans="1:8">
      <c r="A26" s="2" t="s">
        <v>62</v>
      </c>
      <c r="B26" s="3" t="s">
        <v>63</v>
      </c>
      <c r="C26" s="4" t="s">
        <v>64</v>
      </c>
      <c r="D26" s="5"/>
      <c r="E26" s="6" t="s">
        <v>11</v>
      </c>
      <c r="F26" s="7" t="s">
        <v>11</v>
      </c>
      <c r="G26" s="8"/>
      <c r="H26" s="4"/>
    </row>
    <row r="27" spans="1:8">
      <c r="A27" s="2" t="s">
        <v>65</v>
      </c>
      <c r="B27" s="3" t="s">
        <v>63</v>
      </c>
      <c r="C27" s="4" t="s">
        <v>66</v>
      </c>
      <c r="D27" s="5"/>
      <c r="E27" s="6" t="s">
        <v>11</v>
      </c>
      <c r="F27" s="7" t="s">
        <v>11</v>
      </c>
      <c r="G27" s="8"/>
      <c r="H27" s="4"/>
    </row>
    <row r="28" spans="1:8">
      <c r="A28" s="2" t="s">
        <v>67</v>
      </c>
      <c r="B28" s="3" t="s">
        <v>68</v>
      </c>
      <c r="C28" s="4" t="s">
        <v>69</v>
      </c>
      <c r="D28" s="5"/>
      <c r="E28" s="6" t="s">
        <v>11</v>
      </c>
      <c r="F28" s="7" t="s">
        <v>11</v>
      </c>
      <c r="G28" s="8"/>
      <c r="H28" s="4"/>
    </row>
    <row r="29" spans="1:8">
      <c r="A29" s="2" t="s">
        <v>70</v>
      </c>
      <c r="B29" s="3" t="s">
        <v>68</v>
      </c>
      <c r="C29" s="4" t="s">
        <v>71</v>
      </c>
      <c r="D29" s="5"/>
      <c r="E29" s="6" t="s">
        <v>11</v>
      </c>
      <c r="F29" s="7" t="s">
        <v>11</v>
      </c>
      <c r="G29" s="8"/>
      <c r="H29" s="4"/>
    </row>
    <row r="30" spans="1:8">
      <c r="A30" s="2" t="s">
        <v>72</v>
      </c>
      <c r="B30" s="3" t="s">
        <v>73</v>
      </c>
      <c r="C30" s="4" t="s">
        <v>74</v>
      </c>
      <c r="D30" s="5"/>
      <c r="E30" s="6" t="s">
        <v>11</v>
      </c>
      <c r="F30" s="7" t="s">
        <v>11</v>
      </c>
      <c r="G30" s="8"/>
      <c r="H30" s="4"/>
    </row>
    <row r="31" spans="1:8">
      <c r="A31" s="2" t="s">
        <v>75</v>
      </c>
      <c r="B31" s="3" t="s">
        <v>73</v>
      </c>
      <c r="C31" s="4" t="s">
        <v>76</v>
      </c>
      <c r="D31" s="5"/>
      <c r="E31" s="6" t="s">
        <v>11</v>
      </c>
      <c r="F31" s="7" t="s">
        <v>11</v>
      </c>
      <c r="G31" s="8"/>
      <c r="H31" s="4"/>
    </row>
    <row r="32" spans="1:8">
      <c r="A32" s="2" t="s">
        <v>77</v>
      </c>
      <c r="B32" s="3" t="s">
        <v>78</v>
      </c>
      <c r="C32" s="4" t="s">
        <v>79</v>
      </c>
      <c r="D32" s="5"/>
      <c r="E32" s="6" t="s">
        <v>11</v>
      </c>
      <c r="F32" s="7" t="s">
        <v>11</v>
      </c>
      <c r="G32" s="8"/>
      <c r="H32" s="4"/>
    </row>
    <row r="33" spans="1:8">
      <c r="A33" s="2" t="s">
        <v>80</v>
      </c>
      <c r="B33" s="3" t="s">
        <v>81</v>
      </c>
      <c r="C33" s="4" t="s">
        <v>82</v>
      </c>
      <c r="D33" s="5"/>
      <c r="E33" s="6" t="s">
        <v>11</v>
      </c>
      <c r="F33" s="7" t="s">
        <v>11</v>
      </c>
      <c r="G33" s="8"/>
      <c r="H33" s="4"/>
    </row>
    <row r="34" spans="1:8">
      <c r="A34" s="2" t="s">
        <v>83</v>
      </c>
      <c r="B34" s="3" t="s">
        <v>81</v>
      </c>
      <c r="C34" s="4" t="s">
        <v>84</v>
      </c>
      <c r="D34" s="5"/>
      <c r="E34" s="6" t="s">
        <v>11</v>
      </c>
      <c r="F34" s="7" t="s">
        <v>11</v>
      </c>
      <c r="G34" s="8"/>
      <c r="H34" s="4"/>
    </row>
    <row r="35" spans="1:8">
      <c r="A35" s="2" t="s">
        <v>85</v>
      </c>
      <c r="B35" s="3" t="s">
        <v>81</v>
      </c>
      <c r="C35" s="4" t="s">
        <v>86</v>
      </c>
      <c r="D35" s="5"/>
      <c r="E35" s="6"/>
      <c r="F35" s="7" t="s">
        <v>11</v>
      </c>
      <c r="G35" s="8"/>
      <c r="H35" s="4"/>
    </row>
    <row r="36" spans="1:8">
      <c r="A36" s="2" t="s">
        <v>87</v>
      </c>
      <c r="B36" s="3" t="s">
        <v>88</v>
      </c>
      <c r="C36" s="4" t="s">
        <v>89</v>
      </c>
      <c r="D36" s="5"/>
      <c r="E36" s="6"/>
      <c r="F36" s="7"/>
      <c r="G36" s="8"/>
      <c r="H36" s="4"/>
    </row>
    <row r="37" spans="1:8">
      <c r="A37" s="2" t="s">
        <v>90</v>
      </c>
      <c r="B37" s="3" t="s">
        <v>88</v>
      </c>
      <c r="C37" s="4" t="s">
        <v>91</v>
      </c>
      <c r="D37" s="5"/>
      <c r="E37" s="6" t="s">
        <v>11</v>
      </c>
      <c r="F37" s="7" t="s">
        <v>11</v>
      </c>
      <c r="G37" s="8"/>
      <c r="H37" s="4"/>
    </row>
    <row r="38" spans="1:8">
      <c r="A38" s="2" t="s">
        <v>92</v>
      </c>
      <c r="B38" s="3" t="s">
        <v>93</v>
      </c>
      <c r="C38" s="4" t="s">
        <v>94</v>
      </c>
      <c r="D38" s="5"/>
      <c r="E38" s="6" t="s">
        <v>11</v>
      </c>
      <c r="F38" s="7" t="s">
        <v>11</v>
      </c>
      <c r="G38" s="8"/>
      <c r="H38" s="4"/>
    </row>
    <row r="39" spans="1:8">
      <c r="A39" s="2" t="s">
        <v>95</v>
      </c>
      <c r="B39" s="3" t="s">
        <v>93</v>
      </c>
      <c r="C39" s="4" t="s">
        <v>96</v>
      </c>
      <c r="D39" s="5"/>
      <c r="E39" s="6" t="s">
        <v>11</v>
      </c>
      <c r="F39" s="7" t="s">
        <v>11</v>
      </c>
      <c r="G39" s="8"/>
      <c r="H39" s="4"/>
    </row>
    <row r="40" spans="1:8">
      <c r="A40" s="2" t="s">
        <v>97</v>
      </c>
      <c r="B40" s="3" t="s">
        <v>93</v>
      </c>
      <c r="C40" s="4" t="s">
        <v>98</v>
      </c>
      <c r="D40" s="5"/>
      <c r="E40" s="6" t="s">
        <v>11</v>
      </c>
      <c r="F40" s="7" t="s">
        <v>11</v>
      </c>
      <c r="G40" s="8"/>
      <c r="H40" s="4"/>
    </row>
    <row r="41" spans="1:8">
      <c r="A41" s="2" t="s">
        <v>99</v>
      </c>
      <c r="B41" s="3" t="s">
        <v>93</v>
      </c>
      <c r="C41" s="4" t="s">
        <v>100</v>
      </c>
      <c r="D41" s="5"/>
      <c r="E41" s="6" t="s">
        <v>11</v>
      </c>
      <c r="F41" s="7" t="s">
        <v>11</v>
      </c>
      <c r="G41" s="8"/>
      <c r="H41" s="4"/>
    </row>
    <row r="42" spans="1:8">
      <c r="A42" s="2" t="s">
        <v>101</v>
      </c>
      <c r="B42" s="3" t="s">
        <v>93</v>
      </c>
      <c r="C42" s="4" t="s">
        <v>102</v>
      </c>
      <c r="D42" s="5"/>
      <c r="E42" s="6" t="s">
        <v>11</v>
      </c>
      <c r="F42" s="7" t="s">
        <v>11</v>
      </c>
      <c r="G42" s="8"/>
      <c r="H42" s="4"/>
    </row>
    <row r="43" spans="1:8">
      <c r="A43" s="2" t="s">
        <v>103</v>
      </c>
      <c r="B43" s="3" t="s">
        <v>93</v>
      </c>
      <c r="C43" s="4" t="s">
        <v>104</v>
      </c>
      <c r="D43" s="5"/>
      <c r="E43" s="6" t="s">
        <v>11</v>
      </c>
      <c r="F43" s="7" t="s">
        <v>11</v>
      </c>
      <c r="G43" s="8"/>
      <c r="H43" s="4"/>
    </row>
  </sheetData>
  <conditionalFormatting sqref="G2:G43">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43">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 type="list" allowBlank="1" showInputMessage="1" showErrorMessage="1" errorTitle="Invalid Input" error="Invalid input. Choose Yes, No, Partially or Not applicable." sqref="G22">
      <formula1>"Yes,No,Partially,Not applicable"</formula1>
    </dataValidation>
    <dataValidation type="list" allowBlank="1" showInputMessage="1" showErrorMessage="1" errorTitle="Invalid Input" error="Invalid input. Choose Yes, No, Partially or Not applicable." sqref="G23">
      <formula1>"Yes,No,Partially,Not applicable"</formula1>
    </dataValidation>
    <dataValidation type="list" allowBlank="1" showInputMessage="1" showErrorMessage="1" errorTitle="Invalid Input" error="Invalid input. Choose Yes, No, Partially or Not applicable." sqref="G24">
      <formula1>"Yes,No,Partially,Not applicable"</formula1>
    </dataValidation>
    <dataValidation type="list" allowBlank="1" showInputMessage="1" showErrorMessage="1" errorTitle="Invalid Input" error="Invalid input. Choose Yes, No, Partially or Not applicable." sqref="G25">
      <formula1>"Yes,No,Partially,Not applicable"</formula1>
    </dataValidation>
    <dataValidation type="list" allowBlank="1" showInputMessage="1" showErrorMessage="1" errorTitle="Invalid Input" error="Invalid input. Choose Yes, No, Partially or Not applicable." sqref="G26">
      <formula1>"Yes,No,Partially,Not applicable"</formula1>
    </dataValidation>
    <dataValidation type="list" allowBlank="1" showInputMessage="1" showErrorMessage="1" errorTitle="Invalid Input" error="Invalid input. Choose Yes, No, Partially or Not applicable." sqref="G27">
      <formula1>"Yes,No,Partially,Not applicable"</formula1>
    </dataValidation>
    <dataValidation type="list" allowBlank="1" showInputMessage="1" showErrorMessage="1" errorTitle="Invalid Input" error="Invalid input. Choose Yes, No, Partially or Not applicable." sqref="G28">
      <formula1>"Yes,No,Partially,Not applicable"</formula1>
    </dataValidation>
    <dataValidation type="list" allowBlank="1" showInputMessage="1" showErrorMessage="1" errorTitle="Invalid Input" error="Invalid input. Choose Yes, No, Partially or Not applicable." sqref="G29">
      <formula1>"Yes,No,Partially,Not applicable"</formula1>
    </dataValidation>
    <dataValidation type="list" allowBlank="1" showInputMessage="1" showErrorMessage="1" errorTitle="Invalid Input" error="Invalid input. Choose Yes, No, Partially or Not applicable." sqref="G30">
      <formula1>"Yes,No,Partially,Not applicable"</formula1>
    </dataValidation>
    <dataValidation type="list" allowBlank="1" showInputMessage="1" showErrorMessage="1" errorTitle="Invalid Input" error="Invalid input. Choose Yes, No, Partially or Not applicable." sqref="G31">
      <formula1>"Yes,No,Partially,Not applicable"</formula1>
    </dataValidation>
    <dataValidation type="list" allowBlank="1" showInputMessage="1" showErrorMessage="1" errorTitle="Invalid Input" error="Invalid input. Choose Yes, No, Partially or Not applicable." sqref="G32">
      <formula1>"Yes,No,Partially,Not applicable"</formula1>
    </dataValidation>
    <dataValidation type="list" allowBlank="1" showInputMessage="1" showErrorMessage="1" errorTitle="Invalid Input" error="Invalid input. Choose Yes, No, Partially or Not applicable." sqref="G33">
      <formula1>"Yes,No,Partially,Not applicable"</formula1>
    </dataValidation>
    <dataValidation type="list" allowBlank="1" showInputMessage="1" showErrorMessage="1" errorTitle="Invalid Input" error="Invalid input. Choose Yes, No, Partially or Not applicable." sqref="G34">
      <formula1>"Yes,No,Partially,Not applicable"</formula1>
    </dataValidation>
    <dataValidation type="list" allowBlank="1" showInputMessage="1" showErrorMessage="1" errorTitle="Invalid Input" error="Invalid input. Choose Yes, No, Partially or Not applicable." sqref="G35">
      <formula1>"Yes,No,Partially,Not applicable"</formula1>
    </dataValidation>
    <dataValidation type="list" allowBlank="1" showInputMessage="1" showErrorMessage="1" errorTitle="Invalid Input" error="Invalid input. Choose Yes, No, Partially or Not applicable." sqref="G36">
      <formula1>"Yes,No,Partially,Not applicable"</formula1>
    </dataValidation>
    <dataValidation type="list" allowBlank="1" showInputMessage="1" showErrorMessage="1" errorTitle="Invalid Input" error="Invalid input. Choose Yes, No, Partially or Not applicable." sqref="G37">
      <formula1>"Yes,No,Partially,Not applicable"</formula1>
    </dataValidation>
    <dataValidation type="list" allowBlank="1" showInputMessage="1" showErrorMessage="1" errorTitle="Invalid Input" error="Invalid input. Choose Yes, No, Partially or Not applicable." sqref="G38">
      <formula1>"Yes,No,Partially,Not applicable"</formula1>
    </dataValidation>
    <dataValidation type="list" allowBlank="1" showInputMessage="1" showErrorMessage="1" errorTitle="Invalid Input" error="Invalid input. Choose Yes, No, Partially or Not applicable." sqref="G39">
      <formula1>"Yes,No,Partially,Not applicable"</formula1>
    </dataValidation>
    <dataValidation type="list" allowBlank="1" showInputMessage="1" showErrorMessage="1" errorTitle="Invalid Input" error="Invalid input. Choose Yes, No, Partially or Not applicable." sqref="G40">
      <formula1>"Yes,No,Partially,Not applicable"</formula1>
    </dataValidation>
    <dataValidation type="list" allowBlank="1" showInputMessage="1" showErrorMessage="1" errorTitle="Invalid Input" error="Invalid input. Choose Yes, No, Partially or Not applicable." sqref="G41">
      <formula1>"Yes,No,Partially,Not applicable"</formula1>
    </dataValidation>
    <dataValidation type="list" allowBlank="1" showInputMessage="1" showErrorMessage="1" errorTitle="Invalid Input" error="Invalid input. Choose Yes, No, Partially or Not applicable." sqref="G42">
      <formula1>"Yes,No,Partially,Not applicable"</formula1>
    </dataValidation>
    <dataValidation type="list" allowBlank="1" showInputMessage="1" showErrorMessage="1" errorTitle="Invalid Input" error="Invalid input. Choose Yes, No, Partially or Not applicable." sqref="G43">
      <formula1>"Yes,No,Partially,Not applicable"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H58"/>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105</v>
      </c>
      <c r="B2" s="3" t="s">
        <v>106</v>
      </c>
      <c r="C2" s="4" t="s">
        <v>107</v>
      </c>
      <c r="D2" s="5" t="s">
        <v>11</v>
      </c>
      <c r="E2" s="6" t="s">
        <v>11</v>
      </c>
      <c r="F2" s="7" t="s">
        <v>11</v>
      </c>
      <c r="G2" s="8"/>
      <c r="H2" s="4"/>
    </row>
    <row r="3" spans="1:8">
      <c r="A3" s="2" t="s">
        <v>108</v>
      </c>
      <c r="B3" s="3" t="s">
        <v>106</v>
      </c>
      <c r="C3" s="4" t="s">
        <v>109</v>
      </c>
      <c r="D3" s="5" t="s">
        <v>11</v>
      </c>
      <c r="E3" s="6" t="s">
        <v>11</v>
      </c>
      <c r="F3" s="7" t="s">
        <v>11</v>
      </c>
      <c r="G3" s="8"/>
      <c r="H3" s="4"/>
    </row>
    <row r="4" spans="1:8">
      <c r="A4" s="2" t="s">
        <v>110</v>
      </c>
      <c r="B4" s="3" t="s">
        <v>106</v>
      </c>
      <c r="C4" s="4" t="s">
        <v>111</v>
      </c>
      <c r="D4" s="5" t="s">
        <v>11</v>
      </c>
      <c r="E4" s="6" t="s">
        <v>11</v>
      </c>
      <c r="F4" s="7" t="s">
        <v>11</v>
      </c>
      <c r="G4" s="8"/>
      <c r="H4" s="4"/>
    </row>
    <row r="5" spans="1:8">
      <c r="A5" s="2" t="s">
        <v>112</v>
      </c>
      <c r="B5" s="3" t="s">
        <v>106</v>
      </c>
      <c r="C5" s="4" t="s">
        <v>113</v>
      </c>
      <c r="D5" s="5" t="s">
        <v>11</v>
      </c>
      <c r="E5" s="6" t="s">
        <v>11</v>
      </c>
      <c r="F5" s="7" t="s">
        <v>11</v>
      </c>
      <c r="G5" s="8"/>
      <c r="H5" s="4"/>
    </row>
    <row r="6" spans="1:8">
      <c r="A6" s="2" t="s">
        <v>114</v>
      </c>
      <c r="B6" s="3" t="s">
        <v>106</v>
      </c>
      <c r="C6" s="4" t="s">
        <v>115</v>
      </c>
      <c r="D6" s="5" t="s">
        <v>11</v>
      </c>
      <c r="E6" s="6" t="s">
        <v>11</v>
      </c>
      <c r="F6" s="7" t="s">
        <v>11</v>
      </c>
      <c r="G6" s="8"/>
      <c r="H6" s="4"/>
    </row>
    <row r="7" spans="1:8">
      <c r="A7" s="2" t="s">
        <v>116</v>
      </c>
      <c r="B7" s="3" t="s">
        <v>106</v>
      </c>
      <c r="C7" s="4" t="s">
        <v>117</v>
      </c>
      <c r="D7" s="5" t="s">
        <v>11</v>
      </c>
      <c r="E7" s="6" t="s">
        <v>11</v>
      </c>
      <c r="F7" s="7" t="s">
        <v>11</v>
      </c>
      <c r="G7" s="8"/>
      <c r="H7" s="4"/>
    </row>
    <row r="8" spans="1:8">
      <c r="A8" s="2" t="s">
        <v>118</v>
      </c>
      <c r="B8" s="3" t="s">
        <v>106</v>
      </c>
      <c r="C8" s="4" t="s">
        <v>119</v>
      </c>
      <c r="D8" s="5" t="s">
        <v>11</v>
      </c>
      <c r="E8" s="6" t="s">
        <v>11</v>
      </c>
      <c r="F8" s="7" t="s">
        <v>11</v>
      </c>
      <c r="G8" s="8"/>
      <c r="H8" s="4"/>
    </row>
    <row r="9" spans="1:8">
      <c r="A9" s="2" t="s">
        <v>120</v>
      </c>
      <c r="B9" s="3" t="s">
        <v>106</v>
      </c>
      <c r="C9" s="4" t="s">
        <v>121</v>
      </c>
      <c r="D9" s="5" t="s">
        <v>11</v>
      </c>
      <c r="E9" s="6" t="s">
        <v>11</v>
      </c>
      <c r="F9" s="7" t="s">
        <v>11</v>
      </c>
      <c r="G9" s="8"/>
      <c r="H9" s="4"/>
    </row>
    <row r="10" spans="1:8">
      <c r="A10" s="2" t="s">
        <v>122</v>
      </c>
      <c r="B10" s="3" t="s">
        <v>106</v>
      </c>
      <c r="C10" s="4" t="s">
        <v>123</v>
      </c>
      <c r="D10" s="5" t="s">
        <v>11</v>
      </c>
      <c r="E10" s="6" t="s">
        <v>11</v>
      </c>
      <c r="F10" s="7" t="s">
        <v>11</v>
      </c>
      <c r="G10" s="8"/>
      <c r="H10" s="4"/>
    </row>
    <row r="11" spans="1:8">
      <c r="A11" s="2" t="s">
        <v>124</v>
      </c>
      <c r="B11" s="3" t="s">
        <v>106</v>
      </c>
      <c r="C11" s="4" t="s">
        <v>125</v>
      </c>
      <c r="D11" s="5" t="s">
        <v>11</v>
      </c>
      <c r="E11" s="6" t="s">
        <v>11</v>
      </c>
      <c r="F11" s="7" t="s">
        <v>11</v>
      </c>
      <c r="G11" s="8"/>
      <c r="H11" s="4"/>
    </row>
    <row r="12" spans="1:8">
      <c r="A12" s="2" t="s">
        <v>126</v>
      </c>
      <c r="B12" s="3" t="s">
        <v>106</v>
      </c>
      <c r="C12" s="4" t="s">
        <v>127</v>
      </c>
      <c r="D12" s="5" t="s">
        <v>11</v>
      </c>
      <c r="E12" s="6" t="s">
        <v>11</v>
      </c>
      <c r="F12" s="7" t="s">
        <v>11</v>
      </c>
      <c r="G12" s="8"/>
      <c r="H12" s="4"/>
    </row>
    <row r="13" spans="1:8">
      <c r="A13" s="2" t="s">
        <v>128</v>
      </c>
      <c r="B13" s="3" t="s">
        <v>106</v>
      </c>
      <c r="C13" s="4" t="s">
        <v>129</v>
      </c>
      <c r="D13" s="5" t="s">
        <v>11</v>
      </c>
      <c r="E13" s="6" t="s">
        <v>11</v>
      </c>
      <c r="F13" s="7" t="s">
        <v>11</v>
      </c>
      <c r="G13" s="8"/>
      <c r="H13" s="4"/>
    </row>
    <row r="14" spans="1:8">
      <c r="A14" s="2" t="s">
        <v>130</v>
      </c>
      <c r="B14" s="3" t="s">
        <v>131</v>
      </c>
      <c r="C14" s="4" t="s">
        <v>132</v>
      </c>
      <c r="D14" s="5" t="s">
        <v>11</v>
      </c>
      <c r="E14" s="6" t="s">
        <v>11</v>
      </c>
      <c r="F14" s="7" t="s">
        <v>11</v>
      </c>
      <c r="G14" s="8"/>
      <c r="H14" s="4"/>
    </row>
    <row r="15" spans="1:8">
      <c r="A15" s="2" t="s">
        <v>133</v>
      </c>
      <c r="B15" s="3" t="s">
        <v>131</v>
      </c>
      <c r="C15" s="4" t="s">
        <v>134</v>
      </c>
      <c r="D15" s="5" t="s">
        <v>11</v>
      </c>
      <c r="E15" s="6" t="s">
        <v>11</v>
      </c>
      <c r="F15" s="7" t="s">
        <v>11</v>
      </c>
      <c r="G15" s="8"/>
      <c r="H15" s="4"/>
    </row>
    <row r="16" spans="1:8">
      <c r="A16" s="2" t="s">
        <v>135</v>
      </c>
      <c r="B16" s="3" t="s">
        <v>131</v>
      </c>
      <c r="C16" s="4" t="s">
        <v>136</v>
      </c>
      <c r="D16" s="5" t="s">
        <v>11</v>
      </c>
      <c r="E16" s="6" t="s">
        <v>11</v>
      </c>
      <c r="F16" s="7" t="s">
        <v>11</v>
      </c>
      <c r="G16" s="8"/>
      <c r="H16" s="4"/>
    </row>
    <row r="17" spans="1:8">
      <c r="A17" s="2" t="s">
        <v>137</v>
      </c>
      <c r="B17" s="3" t="s">
        <v>131</v>
      </c>
      <c r="C17" s="4" t="s">
        <v>138</v>
      </c>
      <c r="D17" s="5"/>
      <c r="E17" s="6"/>
      <c r="F17" s="7" t="s">
        <v>11</v>
      </c>
      <c r="G17" s="8"/>
      <c r="H17" s="4"/>
    </row>
    <row r="18" spans="1:8">
      <c r="A18" s="2" t="s">
        <v>139</v>
      </c>
      <c r="B18" s="3" t="s">
        <v>131</v>
      </c>
      <c r="C18" s="4" t="s">
        <v>140</v>
      </c>
      <c r="D18" s="5"/>
      <c r="E18" s="6"/>
      <c r="F18" s="7" t="s">
        <v>11</v>
      </c>
      <c r="G18" s="8"/>
      <c r="H18" s="4"/>
    </row>
    <row r="19" spans="1:8">
      <c r="A19" s="2" t="s">
        <v>141</v>
      </c>
      <c r="B19" s="3" t="s">
        <v>131</v>
      </c>
      <c r="C19" s="4" t="s">
        <v>142</v>
      </c>
      <c r="D19" s="5"/>
      <c r="E19" s="6"/>
      <c r="F19" s="7" t="s">
        <v>11</v>
      </c>
      <c r="G19" s="8"/>
      <c r="H19" s="4"/>
    </row>
    <row r="20" spans="1:8">
      <c r="A20" s="2" t="s">
        <v>143</v>
      </c>
      <c r="B20" s="3" t="s">
        <v>131</v>
      </c>
      <c r="C20" s="4" t="s">
        <v>144</v>
      </c>
      <c r="D20" s="5"/>
      <c r="E20" s="6"/>
      <c r="F20" s="7" t="s">
        <v>11</v>
      </c>
      <c r="G20" s="8"/>
      <c r="H20" s="4"/>
    </row>
    <row r="21" spans="1:8">
      <c r="A21" s="2" t="s">
        <v>145</v>
      </c>
      <c r="B21" s="3" t="s">
        <v>146</v>
      </c>
      <c r="C21" s="4" t="s">
        <v>147</v>
      </c>
      <c r="D21" s="5" t="s">
        <v>11</v>
      </c>
      <c r="E21" s="6" t="s">
        <v>11</v>
      </c>
      <c r="F21" s="7" t="s">
        <v>11</v>
      </c>
      <c r="G21" s="8"/>
      <c r="H21" s="4"/>
    </row>
    <row r="22" spans="1:8">
      <c r="A22" s="2" t="s">
        <v>148</v>
      </c>
      <c r="B22" s="3" t="s">
        <v>146</v>
      </c>
      <c r="C22" s="4" t="s">
        <v>149</v>
      </c>
      <c r="D22" s="5"/>
      <c r="E22" s="6" t="s">
        <v>11</v>
      </c>
      <c r="F22" s="7" t="s">
        <v>11</v>
      </c>
      <c r="G22" s="8"/>
      <c r="H22" s="4"/>
    </row>
    <row r="23" spans="1:8">
      <c r="A23" s="2" t="s">
        <v>150</v>
      </c>
      <c r="B23" s="3" t="s">
        <v>146</v>
      </c>
      <c r="C23" s="4" t="s">
        <v>151</v>
      </c>
      <c r="D23" s="5"/>
      <c r="E23" s="6" t="s">
        <v>11</v>
      </c>
      <c r="F23" s="7" t="s">
        <v>11</v>
      </c>
      <c r="G23" s="8"/>
      <c r="H23" s="4"/>
    </row>
    <row r="24" spans="1:8">
      <c r="A24" s="2" t="s">
        <v>152</v>
      </c>
      <c r="B24" s="3" t="s">
        <v>153</v>
      </c>
      <c r="C24" s="4" t="s">
        <v>154</v>
      </c>
      <c r="D24" s="5"/>
      <c r="E24" s="6" t="s">
        <v>11</v>
      </c>
      <c r="F24" s="7" t="s">
        <v>11</v>
      </c>
      <c r="G24" s="8"/>
      <c r="H24" s="4"/>
    </row>
    <row r="25" spans="1:8">
      <c r="A25" s="2" t="s">
        <v>155</v>
      </c>
      <c r="B25" s="3" t="s">
        <v>153</v>
      </c>
      <c r="C25" s="4" t="s">
        <v>156</v>
      </c>
      <c r="D25" s="5"/>
      <c r="E25" s="6" t="s">
        <v>11</v>
      </c>
      <c r="F25" s="7" t="s">
        <v>11</v>
      </c>
      <c r="G25" s="8"/>
      <c r="H25" s="4"/>
    </row>
    <row r="26" spans="1:8">
      <c r="A26" s="2" t="s">
        <v>157</v>
      </c>
      <c r="B26" s="3" t="s">
        <v>153</v>
      </c>
      <c r="C26" s="4" t="s">
        <v>158</v>
      </c>
      <c r="D26" s="5"/>
      <c r="E26" s="6" t="s">
        <v>11</v>
      </c>
      <c r="F26" s="7" t="s">
        <v>11</v>
      </c>
      <c r="G26" s="8"/>
      <c r="H26" s="4"/>
    </row>
    <row r="27" spans="1:8">
      <c r="A27" s="2" t="s">
        <v>159</v>
      </c>
      <c r="B27" s="3" t="s">
        <v>153</v>
      </c>
      <c r="C27" s="4" t="s">
        <v>160</v>
      </c>
      <c r="D27" s="5"/>
      <c r="E27" s="6" t="s">
        <v>11</v>
      </c>
      <c r="F27" s="7" t="s">
        <v>11</v>
      </c>
      <c r="G27" s="8"/>
      <c r="H27" s="4"/>
    </row>
    <row r="28" spans="1:8">
      <c r="A28" s="2" t="s">
        <v>161</v>
      </c>
      <c r="B28" s="3" t="s">
        <v>153</v>
      </c>
      <c r="C28" s="4" t="s">
        <v>162</v>
      </c>
      <c r="D28" s="5"/>
      <c r="E28" s="6" t="s">
        <v>11</v>
      </c>
      <c r="F28" s="7" t="s">
        <v>11</v>
      </c>
      <c r="G28" s="8"/>
      <c r="H28" s="4"/>
    </row>
    <row r="29" spans="1:8">
      <c r="A29" s="2" t="s">
        <v>163</v>
      </c>
      <c r="B29" s="3" t="s">
        <v>164</v>
      </c>
      <c r="C29" s="4" t="s">
        <v>165</v>
      </c>
      <c r="D29" s="5" t="s">
        <v>11</v>
      </c>
      <c r="E29" s="6" t="s">
        <v>11</v>
      </c>
      <c r="F29" s="7" t="s">
        <v>11</v>
      </c>
      <c r="G29" s="8"/>
      <c r="H29" s="4"/>
    </row>
    <row r="30" spans="1:8">
      <c r="A30" s="2" t="s">
        <v>166</v>
      </c>
      <c r="B30" s="3" t="s">
        <v>164</v>
      </c>
      <c r="C30" s="4" t="s">
        <v>167</v>
      </c>
      <c r="D30" s="5" t="s">
        <v>11</v>
      </c>
      <c r="E30" s="6" t="s">
        <v>11</v>
      </c>
      <c r="F30" s="7" t="s">
        <v>11</v>
      </c>
      <c r="G30" s="8"/>
      <c r="H30" s="4"/>
    </row>
    <row r="31" spans="1:8">
      <c r="A31" s="2" t="s">
        <v>168</v>
      </c>
      <c r="B31" s="3" t="s">
        <v>164</v>
      </c>
      <c r="C31" s="4" t="s">
        <v>169</v>
      </c>
      <c r="D31" s="5" t="s">
        <v>11</v>
      </c>
      <c r="E31" s="6" t="s">
        <v>11</v>
      </c>
      <c r="F31" s="7" t="s">
        <v>11</v>
      </c>
      <c r="G31" s="8"/>
      <c r="H31" s="4"/>
    </row>
    <row r="32" spans="1:8">
      <c r="A32" s="2" t="s">
        <v>170</v>
      </c>
      <c r="B32" s="3" t="s">
        <v>164</v>
      </c>
      <c r="C32" s="4" t="s">
        <v>171</v>
      </c>
      <c r="D32" s="5" t="s">
        <v>11</v>
      </c>
      <c r="E32" s="6" t="s">
        <v>11</v>
      </c>
      <c r="F32" s="7" t="s">
        <v>11</v>
      </c>
      <c r="G32" s="8"/>
      <c r="H32" s="4"/>
    </row>
    <row r="33" spans="1:8">
      <c r="A33" s="2" t="s">
        <v>172</v>
      </c>
      <c r="B33" s="3" t="s">
        <v>164</v>
      </c>
      <c r="C33" s="4" t="s">
        <v>173</v>
      </c>
      <c r="D33" s="5" t="s">
        <v>11</v>
      </c>
      <c r="E33" s="6" t="s">
        <v>11</v>
      </c>
      <c r="F33" s="7" t="s">
        <v>11</v>
      </c>
      <c r="G33" s="8"/>
      <c r="H33" s="4"/>
    </row>
    <row r="34" spans="1:8">
      <c r="A34" s="2" t="s">
        <v>174</v>
      </c>
      <c r="B34" s="3" t="s">
        <v>164</v>
      </c>
      <c r="C34" s="4" t="s">
        <v>175</v>
      </c>
      <c r="D34" s="5" t="s">
        <v>11</v>
      </c>
      <c r="E34" s="6" t="s">
        <v>11</v>
      </c>
      <c r="F34" s="7" t="s">
        <v>11</v>
      </c>
      <c r="G34" s="8"/>
      <c r="H34" s="4"/>
    </row>
    <row r="35" spans="1:8">
      <c r="A35" s="2" t="s">
        <v>176</v>
      </c>
      <c r="B35" s="3" t="s">
        <v>164</v>
      </c>
      <c r="C35" s="4" t="s">
        <v>177</v>
      </c>
      <c r="D35" s="5"/>
      <c r="E35" s="6" t="s">
        <v>11</v>
      </c>
      <c r="F35" s="7" t="s">
        <v>11</v>
      </c>
      <c r="G35" s="8"/>
      <c r="H35" s="4"/>
    </row>
    <row r="36" spans="1:8">
      <c r="A36" s="2" t="s">
        <v>178</v>
      </c>
      <c r="B36" s="3" t="s">
        <v>179</v>
      </c>
      <c r="C36" s="4" t="s">
        <v>180</v>
      </c>
      <c r="D36" s="5"/>
      <c r="E36" s="6" t="s">
        <v>11</v>
      </c>
      <c r="F36" s="7" t="s">
        <v>11</v>
      </c>
      <c r="G36" s="8"/>
      <c r="H36" s="4"/>
    </row>
    <row r="37" spans="1:8">
      <c r="A37" s="2" t="s">
        <v>181</v>
      </c>
      <c r="B37" s="3" t="s">
        <v>179</v>
      </c>
      <c r="C37" s="4" t="s">
        <v>182</v>
      </c>
      <c r="D37" s="5"/>
      <c r="E37" s="6" t="s">
        <v>11</v>
      </c>
      <c r="F37" s="7" t="s">
        <v>11</v>
      </c>
      <c r="G37" s="8"/>
      <c r="H37" s="4"/>
    </row>
    <row r="38" spans="1:8">
      <c r="A38" s="2" t="s">
        <v>183</v>
      </c>
      <c r="B38" s="3" t="s">
        <v>179</v>
      </c>
      <c r="C38" s="4" t="s">
        <v>184</v>
      </c>
      <c r="D38" s="5"/>
      <c r="E38" s="6" t="s">
        <v>11</v>
      </c>
      <c r="F38" s="7" t="s">
        <v>11</v>
      </c>
      <c r="G38" s="8"/>
      <c r="H38" s="4"/>
    </row>
    <row r="39" spans="1:8">
      <c r="A39" s="2" t="s">
        <v>185</v>
      </c>
      <c r="B39" s="3" t="s">
        <v>186</v>
      </c>
      <c r="C39" s="4" t="s">
        <v>187</v>
      </c>
      <c r="D39" s="5" t="s">
        <v>11</v>
      </c>
      <c r="E39" s="6" t="s">
        <v>11</v>
      </c>
      <c r="F39" s="7" t="s">
        <v>11</v>
      </c>
      <c r="G39" s="8"/>
      <c r="H39" s="4"/>
    </row>
    <row r="40" spans="1:8">
      <c r="A40" s="2" t="s">
        <v>188</v>
      </c>
      <c r="B40" s="3" t="s">
        <v>186</v>
      </c>
      <c r="C40" s="4" t="s">
        <v>189</v>
      </c>
      <c r="D40" s="5" t="s">
        <v>11</v>
      </c>
      <c r="E40" s="6" t="s">
        <v>11</v>
      </c>
      <c r="F40" s="7" t="s">
        <v>11</v>
      </c>
      <c r="G40" s="8"/>
      <c r="H40" s="4"/>
    </row>
    <row r="41" spans="1:8">
      <c r="A41" s="2" t="s">
        <v>190</v>
      </c>
      <c r="B41" s="3" t="s">
        <v>186</v>
      </c>
      <c r="C41" s="4" t="s">
        <v>191</v>
      </c>
      <c r="D41" s="5" t="s">
        <v>11</v>
      </c>
      <c r="E41" s="6" t="s">
        <v>11</v>
      </c>
      <c r="F41" s="7" t="s">
        <v>11</v>
      </c>
      <c r="G41" s="8"/>
      <c r="H41" s="4"/>
    </row>
    <row r="42" spans="1:8">
      <c r="A42" s="2" t="s">
        <v>192</v>
      </c>
      <c r="B42" s="3" t="s">
        <v>186</v>
      </c>
      <c r="C42" s="4" t="s">
        <v>193</v>
      </c>
      <c r="D42" s="5" t="s">
        <v>11</v>
      </c>
      <c r="E42" s="6" t="s">
        <v>11</v>
      </c>
      <c r="F42" s="7" t="s">
        <v>11</v>
      </c>
      <c r="G42" s="8"/>
      <c r="H42" s="4"/>
    </row>
    <row r="43" spans="1:8">
      <c r="A43" s="2" t="s">
        <v>194</v>
      </c>
      <c r="B43" s="3" t="s">
        <v>186</v>
      </c>
      <c r="C43" s="4" t="s">
        <v>195</v>
      </c>
      <c r="D43" s="5"/>
      <c r="E43" s="6" t="s">
        <v>11</v>
      </c>
      <c r="F43" s="7" t="s">
        <v>11</v>
      </c>
      <c r="G43" s="8"/>
      <c r="H43" s="4"/>
    </row>
    <row r="44" spans="1:8">
      <c r="A44" s="2" t="s">
        <v>196</v>
      </c>
      <c r="B44" s="3" t="s">
        <v>186</v>
      </c>
      <c r="C44" s="4" t="s">
        <v>197</v>
      </c>
      <c r="D44" s="5"/>
      <c r="E44" s="6" t="s">
        <v>11</v>
      </c>
      <c r="F44" s="7" t="s">
        <v>11</v>
      </c>
      <c r="G44" s="8"/>
      <c r="H44" s="4"/>
    </row>
    <row r="45" spans="1:8">
      <c r="A45" s="2" t="s">
        <v>198</v>
      </c>
      <c r="B45" s="3" t="s">
        <v>199</v>
      </c>
      <c r="C45" s="4" t="s">
        <v>200</v>
      </c>
      <c r="D45" s="5" t="s">
        <v>11</v>
      </c>
      <c r="E45" s="6" t="s">
        <v>11</v>
      </c>
      <c r="F45" s="7" t="s">
        <v>11</v>
      </c>
      <c r="G45" s="8"/>
      <c r="H45" s="4"/>
    </row>
    <row r="46" spans="1:8">
      <c r="A46" s="2" t="s">
        <v>201</v>
      </c>
      <c r="B46" s="3" t="s">
        <v>199</v>
      </c>
      <c r="C46" s="4" t="s">
        <v>202</v>
      </c>
      <c r="D46" s="5"/>
      <c r="E46" s="6" t="s">
        <v>11</v>
      </c>
      <c r="F46" s="7" t="s">
        <v>11</v>
      </c>
      <c r="G46" s="8"/>
      <c r="H46" s="4"/>
    </row>
    <row r="47" spans="1:8">
      <c r="A47" s="2" t="s">
        <v>203</v>
      </c>
      <c r="B47" s="3" t="s">
        <v>199</v>
      </c>
      <c r="C47" s="4" t="s">
        <v>204</v>
      </c>
      <c r="D47" s="5"/>
      <c r="E47" s="6" t="s">
        <v>11</v>
      </c>
      <c r="F47" s="7" t="s">
        <v>11</v>
      </c>
      <c r="G47" s="8"/>
      <c r="H47" s="4"/>
    </row>
    <row r="48" spans="1:8">
      <c r="A48" s="2" t="s">
        <v>205</v>
      </c>
      <c r="B48" s="3" t="s">
        <v>199</v>
      </c>
      <c r="C48" s="4" t="s">
        <v>206</v>
      </c>
      <c r="D48" s="5"/>
      <c r="E48" s="6" t="s">
        <v>11</v>
      </c>
      <c r="F48" s="7" t="s">
        <v>11</v>
      </c>
      <c r="G48" s="8"/>
      <c r="H48" s="4"/>
    </row>
    <row r="49" spans="1:8">
      <c r="A49" s="2" t="s">
        <v>207</v>
      </c>
      <c r="B49" s="3" t="s">
        <v>199</v>
      </c>
      <c r="C49" s="4" t="s">
        <v>208</v>
      </c>
      <c r="D49" s="5"/>
      <c r="E49" s="6" t="s">
        <v>11</v>
      </c>
      <c r="F49" s="7" t="s">
        <v>11</v>
      </c>
      <c r="G49" s="8"/>
      <c r="H49" s="4"/>
    </row>
    <row r="50" spans="1:8">
      <c r="A50" s="2" t="s">
        <v>209</v>
      </c>
      <c r="B50" s="3" t="s">
        <v>199</v>
      </c>
      <c r="C50" s="4" t="s">
        <v>210</v>
      </c>
      <c r="D50" s="5"/>
      <c r="E50" s="6" t="s">
        <v>11</v>
      </c>
      <c r="F50" s="7" t="s">
        <v>11</v>
      </c>
      <c r="G50" s="8"/>
      <c r="H50" s="4"/>
    </row>
    <row r="51" spans="1:8">
      <c r="A51" s="2" t="s">
        <v>211</v>
      </c>
      <c r="B51" s="3" t="s">
        <v>199</v>
      </c>
      <c r="C51" s="4" t="s">
        <v>212</v>
      </c>
      <c r="D51" s="5"/>
      <c r="E51" s="6" t="s">
        <v>213</v>
      </c>
      <c r="F51" s="7" t="s">
        <v>11</v>
      </c>
      <c r="G51" s="8"/>
      <c r="H51" s="4"/>
    </row>
    <row r="52" spans="1:8">
      <c r="A52" s="2" t="s">
        <v>214</v>
      </c>
      <c r="B52" s="3" t="s">
        <v>215</v>
      </c>
      <c r="C52" s="4" t="s">
        <v>216</v>
      </c>
      <c r="D52" s="5"/>
      <c r="E52" s="6" t="s">
        <v>11</v>
      </c>
      <c r="F52" s="7" t="s">
        <v>11</v>
      </c>
      <c r="G52" s="8"/>
      <c r="H52" s="4"/>
    </row>
    <row r="53" spans="1:8">
      <c r="A53" s="2" t="s">
        <v>217</v>
      </c>
      <c r="B53" s="3" t="s">
        <v>215</v>
      </c>
      <c r="C53" s="4" t="s">
        <v>218</v>
      </c>
      <c r="D53" s="5"/>
      <c r="E53" s="6" t="s">
        <v>11</v>
      </c>
      <c r="F53" s="7" t="s">
        <v>11</v>
      </c>
      <c r="G53" s="8"/>
      <c r="H53" s="4"/>
    </row>
    <row r="54" spans="1:8">
      <c r="A54" s="2" t="s">
        <v>219</v>
      </c>
      <c r="B54" s="3" t="s">
        <v>215</v>
      </c>
      <c r="C54" s="4" t="s">
        <v>220</v>
      </c>
      <c r="D54" s="5"/>
      <c r="E54" s="6" t="s">
        <v>11</v>
      </c>
      <c r="F54" s="7" t="s">
        <v>11</v>
      </c>
      <c r="G54" s="8"/>
      <c r="H54" s="4"/>
    </row>
    <row r="55" spans="1:8">
      <c r="A55" s="2" t="s">
        <v>221</v>
      </c>
      <c r="B55" s="3" t="s">
        <v>222</v>
      </c>
      <c r="C55" s="4" t="s">
        <v>223</v>
      </c>
      <c r="D55" s="5"/>
      <c r="E55" s="6" t="s">
        <v>224</v>
      </c>
      <c r="F55" s="7" t="s">
        <v>225</v>
      </c>
      <c r="G55" s="8"/>
      <c r="H55" s="4"/>
    </row>
    <row r="56" spans="1:8">
      <c r="A56" s="2" t="s">
        <v>226</v>
      </c>
      <c r="B56" s="3" t="s">
        <v>222</v>
      </c>
      <c r="C56" s="4" t="s">
        <v>227</v>
      </c>
      <c r="D56" s="5"/>
      <c r="E56" s="6" t="s">
        <v>224</v>
      </c>
      <c r="F56" s="7" t="s">
        <v>225</v>
      </c>
      <c r="G56" s="8"/>
      <c r="H56" s="4"/>
    </row>
    <row r="57" spans="1:8">
      <c r="A57" s="2" t="s">
        <v>228</v>
      </c>
      <c r="B57" s="3" t="s">
        <v>222</v>
      </c>
      <c r="C57" s="4" t="s">
        <v>229</v>
      </c>
      <c r="D57" s="5"/>
      <c r="E57" s="6" t="s">
        <v>224</v>
      </c>
      <c r="F57" s="7" t="s">
        <v>225</v>
      </c>
      <c r="G57" s="8"/>
      <c r="H57" s="4"/>
    </row>
    <row r="58" spans="1:8">
      <c r="A58" s="2" t="s">
        <v>230</v>
      </c>
      <c r="B58" s="3" t="s">
        <v>222</v>
      </c>
      <c r="C58" s="4" t="s">
        <v>231</v>
      </c>
      <c r="D58" s="5"/>
      <c r="E58" s="6" t="s">
        <v>224</v>
      </c>
      <c r="F58" s="7" t="s">
        <v>225</v>
      </c>
      <c r="G58" s="8"/>
      <c r="H58" s="4"/>
    </row>
  </sheetData>
  <conditionalFormatting sqref="G2:G58">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58">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 type="list" allowBlank="1" showInputMessage="1" showErrorMessage="1" errorTitle="Invalid Input" error="Invalid input. Choose Yes, No, Partially or Not applicable." sqref="G22">
      <formula1>"Yes,No,Partially,Not applicable"</formula1>
    </dataValidation>
    <dataValidation type="list" allowBlank="1" showInputMessage="1" showErrorMessage="1" errorTitle="Invalid Input" error="Invalid input. Choose Yes, No, Partially or Not applicable." sqref="G23">
      <formula1>"Yes,No,Partially,Not applicable"</formula1>
    </dataValidation>
    <dataValidation type="list" allowBlank="1" showInputMessage="1" showErrorMessage="1" errorTitle="Invalid Input" error="Invalid input. Choose Yes, No, Partially or Not applicable." sqref="G24">
      <formula1>"Yes,No,Partially,Not applicable"</formula1>
    </dataValidation>
    <dataValidation type="list" allowBlank="1" showInputMessage="1" showErrorMessage="1" errorTitle="Invalid Input" error="Invalid input. Choose Yes, No, Partially or Not applicable." sqref="G25">
      <formula1>"Yes,No,Partially,Not applicable"</formula1>
    </dataValidation>
    <dataValidation type="list" allowBlank="1" showInputMessage="1" showErrorMessage="1" errorTitle="Invalid Input" error="Invalid input. Choose Yes, No, Partially or Not applicable." sqref="G26">
      <formula1>"Yes,No,Partially,Not applicable"</formula1>
    </dataValidation>
    <dataValidation type="list" allowBlank="1" showInputMessage="1" showErrorMessage="1" errorTitle="Invalid Input" error="Invalid input. Choose Yes, No, Partially or Not applicable." sqref="G27">
      <formula1>"Yes,No,Partially,Not applicable"</formula1>
    </dataValidation>
    <dataValidation type="list" allowBlank="1" showInputMessage="1" showErrorMessage="1" errorTitle="Invalid Input" error="Invalid input. Choose Yes, No, Partially or Not applicable." sqref="G28">
      <formula1>"Yes,No,Partially,Not applicable"</formula1>
    </dataValidation>
    <dataValidation type="list" allowBlank="1" showInputMessage="1" showErrorMessage="1" errorTitle="Invalid Input" error="Invalid input. Choose Yes, No, Partially or Not applicable." sqref="G29">
      <formula1>"Yes,No,Partially,Not applicable"</formula1>
    </dataValidation>
    <dataValidation type="list" allowBlank="1" showInputMessage="1" showErrorMessage="1" errorTitle="Invalid Input" error="Invalid input. Choose Yes, No, Partially or Not applicable." sqref="G30">
      <formula1>"Yes,No,Partially,Not applicable"</formula1>
    </dataValidation>
    <dataValidation type="list" allowBlank="1" showInputMessage="1" showErrorMessage="1" errorTitle="Invalid Input" error="Invalid input. Choose Yes, No, Partially or Not applicable." sqref="G31">
      <formula1>"Yes,No,Partially,Not applicable"</formula1>
    </dataValidation>
    <dataValidation type="list" allowBlank="1" showInputMessage="1" showErrorMessage="1" errorTitle="Invalid Input" error="Invalid input. Choose Yes, No, Partially or Not applicable." sqref="G32">
      <formula1>"Yes,No,Partially,Not applicable"</formula1>
    </dataValidation>
    <dataValidation type="list" allowBlank="1" showInputMessage="1" showErrorMessage="1" errorTitle="Invalid Input" error="Invalid input. Choose Yes, No, Partially or Not applicable." sqref="G33">
      <formula1>"Yes,No,Partially,Not applicable"</formula1>
    </dataValidation>
    <dataValidation type="list" allowBlank="1" showInputMessage="1" showErrorMessage="1" errorTitle="Invalid Input" error="Invalid input. Choose Yes, No, Partially or Not applicable." sqref="G34">
      <formula1>"Yes,No,Partially,Not applicable"</formula1>
    </dataValidation>
    <dataValidation type="list" allowBlank="1" showInputMessage="1" showErrorMessage="1" errorTitle="Invalid Input" error="Invalid input. Choose Yes, No, Partially or Not applicable." sqref="G35">
      <formula1>"Yes,No,Partially,Not applicable"</formula1>
    </dataValidation>
    <dataValidation type="list" allowBlank="1" showInputMessage="1" showErrorMessage="1" errorTitle="Invalid Input" error="Invalid input. Choose Yes, No, Partially or Not applicable." sqref="G36">
      <formula1>"Yes,No,Partially,Not applicable"</formula1>
    </dataValidation>
    <dataValidation type="list" allowBlank="1" showInputMessage="1" showErrorMessage="1" errorTitle="Invalid Input" error="Invalid input. Choose Yes, No, Partially or Not applicable." sqref="G37">
      <formula1>"Yes,No,Partially,Not applicable"</formula1>
    </dataValidation>
    <dataValidation type="list" allowBlank="1" showInputMessage="1" showErrorMessage="1" errorTitle="Invalid Input" error="Invalid input. Choose Yes, No, Partially or Not applicable." sqref="G38">
      <formula1>"Yes,No,Partially,Not applicable"</formula1>
    </dataValidation>
    <dataValidation type="list" allowBlank="1" showInputMessage="1" showErrorMessage="1" errorTitle="Invalid Input" error="Invalid input. Choose Yes, No, Partially or Not applicable." sqref="G39">
      <formula1>"Yes,No,Partially,Not applicable"</formula1>
    </dataValidation>
    <dataValidation type="list" allowBlank="1" showInputMessage="1" showErrorMessage="1" errorTitle="Invalid Input" error="Invalid input. Choose Yes, No, Partially or Not applicable." sqref="G40">
      <formula1>"Yes,No,Partially,Not applicable"</formula1>
    </dataValidation>
    <dataValidation type="list" allowBlank="1" showInputMessage="1" showErrorMessage="1" errorTitle="Invalid Input" error="Invalid input. Choose Yes, No, Partially or Not applicable." sqref="G41">
      <formula1>"Yes,No,Partially,Not applicable"</formula1>
    </dataValidation>
    <dataValidation type="list" allowBlank="1" showInputMessage="1" showErrorMessage="1" errorTitle="Invalid Input" error="Invalid input. Choose Yes, No, Partially or Not applicable." sqref="G42">
      <formula1>"Yes,No,Partially,Not applicable"</formula1>
    </dataValidation>
    <dataValidation type="list" allowBlank="1" showInputMessage="1" showErrorMessage="1" errorTitle="Invalid Input" error="Invalid input. Choose Yes, No, Partially or Not applicable." sqref="G43">
      <formula1>"Yes,No,Partially,Not applicable"</formula1>
    </dataValidation>
    <dataValidation type="list" allowBlank="1" showInputMessage="1" showErrorMessage="1" errorTitle="Invalid Input" error="Invalid input. Choose Yes, No, Partially or Not applicable." sqref="G44">
      <formula1>"Yes,No,Partially,Not applicable"</formula1>
    </dataValidation>
    <dataValidation type="list" allowBlank="1" showInputMessage="1" showErrorMessage="1" errorTitle="Invalid Input" error="Invalid input. Choose Yes, No, Partially or Not applicable." sqref="G45">
      <formula1>"Yes,No,Partially,Not applicable"</formula1>
    </dataValidation>
    <dataValidation type="list" allowBlank="1" showInputMessage="1" showErrorMessage="1" errorTitle="Invalid Input" error="Invalid input. Choose Yes, No, Partially or Not applicable." sqref="G46">
      <formula1>"Yes,No,Partially,Not applicable"</formula1>
    </dataValidation>
    <dataValidation type="list" allowBlank="1" showInputMessage="1" showErrorMessage="1" errorTitle="Invalid Input" error="Invalid input. Choose Yes, No, Partially or Not applicable." sqref="G47">
      <formula1>"Yes,No,Partially,Not applicable"</formula1>
    </dataValidation>
    <dataValidation type="list" allowBlank="1" showInputMessage="1" showErrorMessage="1" errorTitle="Invalid Input" error="Invalid input. Choose Yes, No, Partially or Not applicable." sqref="G48">
      <formula1>"Yes,No,Partially,Not applicable"</formula1>
    </dataValidation>
    <dataValidation type="list" allowBlank="1" showInputMessage="1" showErrorMessage="1" errorTitle="Invalid Input" error="Invalid input. Choose Yes, No, Partially or Not applicable." sqref="G49">
      <formula1>"Yes,No,Partially,Not applicable"</formula1>
    </dataValidation>
    <dataValidation type="list" allowBlank="1" showInputMessage="1" showErrorMessage="1" errorTitle="Invalid Input" error="Invalid input. Choose Yes, No, Partially or Not applicable." sqref="G50">
      <formula1>"Yes,No,Partially,Not applicable"</formula1>
    </dataValidation>
    <dataValidation type="list" allowBlank="1" showInputMessage="1" showErrorMessage="1" errorTitle="Invalid Input" error="Invalid input. Choose Yes, No, Partially or Not applicable." sqref="G51">
      <formula1>"Yes,No,Partially,Not applicable"</formula1>
    </dataValidation>
    <dataValidation type="list" allowBlank="1" showInputMessage="1" showErrorMessage="1" errorTitle="Invalid Input" error="Invalid input. Choose Yes, No, Partially or Not applicable." sqref="G52">
      <formula1>"Yes,No,Partially,Not applicable"</formula1>
    </dataValidation>
    <dataValidation type="list" allowBlank="1" showInputMessage="1" showErrorMessage="1" errorTitle="Invalid Input" error="Invalid input. Choose Yes, No, Partially or Not applicable." sqref="G53">
      <formula1>"Yes,No,Partially,Not applicable"</formula1>
    </dataValidation>
    <dataValidation type="list" allowBlank="1" showInputMessage="1" showErrorMessage="1" errorTitle="Invalid Input" error="Invalid input. Choose Yes, No, Partially or Not applicable." sqref="G54">
      <formula1>"Yes,No,Partially,Not applicable"</formula1>
    </dataValidation>
    <dataValidation type="list" allowBlank="1" showInputMessage="1" showErrorMessage="1" errorTitle="Invalid Input" error="Invalid input. Choose Yes, No, Partially or Not applicable." sqref="G55">
      <formula1>"Yes,No,Partially,Not applicable"</formula1>
    </dataValidation>
    <dataValidation type="list" allowBlank="1" showInputMessage="1" showErrorMessage="1" errorTitle="Invalid Input" error="Invalid input. Choose Yes, No, Partially or Not applicable." sqref="G56">
      <formula1>"Yes,No,Partially,Not applicable"</formula1>
    </dataValidation>
    <dataValidation type="list" allowBlank="1" showInputMessage="1" showErrorMessage="1" errorTitle="Invalid Input" error="Invalid input. Choose Yes, No, Partially or Not applicable." sqref="G57">
      <formula1>"Yes,No,Partially,Not applicable"</formula1>
    </dataValidation>
    <dataValidation type="list" allowBlank="1" showInputMessage="1" showErrorMessage="1" errorTitle="Invalid Input" error="Invalid input. Choose Yes, No, Partially or Not applicable." sqref="G58">
      <formula1>"Yes,No,Partially,Not applicable"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H21"/>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232</v>
      </c>
      <c r="B2" s="3" t="s">
        <v>233</v>
      </c>
      <c r="C2" s="4" t="s">
        <v>234</v>
      </c>
      <c r="D2" s="5" t="s">
        <v>11</v>
      </c>
      <c r="E2" s="6" t="s">
        <v>11</v>
      </c>
      <c r="F2" s="7" t="s">
        <v>11</v>
      </c>
      <c r="G2" s="8"/>
      <c r="H2" s="4"/>
    </row>
    <row r="3" spans="1:8">
      <c r="A3" s="2" t="s">
        <v>235</v>
      </c>
      <c r="B3" s="3" t="s">
        <v>236</v>
      </c>
      <c r="C3" s="4" t="s">
        <v>237</v>
      </c>
      <c r="D3" s="5" t="s">
        <v>11</v>
      </c>
      <c r="E3" s="6" t="s">
        <v>11</v>
      </c>
      <c r="F3" s="7" t="s">
        <v>11</v>
      </c>
      <c r="G3" s="8"/>
      <c r="H3" s="4"/>
    </row>
    <row r="4" spans="1:8">
      <c r="A4" s="2" t="s">
        <v>238</v>
      </c>
      <c r="B4" s="3" t="s">
        <v>236</v>
      </c>
      <c r="C4" s="4" t="s">
        <v>239</v>
      </c>
      <c r="D4" s="5" t="s">
        <v>11</v>
      </c>
      <c r="E4" s="6" t="s">
        <v>11</v>
      </c>
      <c r="F4" s="7" t="s">
        <v>11</v>
      </c>
      <c r="G4" s="8"/>
      <c r="H4" s="4"/>
    </row>
    <row r="5" spans="1:8">
      <c r="A5" s="2" t="s">
        <v>240</v>
      </c>
      <c r="B5" s="3" t="s">
        <v>236</v>
      </c>
      <c r="C5" s="4" t="s">
        <v>241</v>
      </c>
      <c r="D5" s="5" t="s">
        <v>11</v>
      </c>
      <c r="E5" s="6" t="s">
        <v>11</v>
      </c>
      <c r="F5" s="7" t="s">
        <v>11</v>
      </c>
      <c r="G5" s="8"/>
      <c r="H5" s="4"/>
    </row>
    <row r="6" spans="1:8">
      <c r="A6" s="2" t="s">
        <v>242</v>
      </c>
      <c r="B6" s="3" t="s">
        <v>236</v>
      </c>
      <c r="C6" s="4" t="s">
        <v>243</v>
      </c>
      <c r="D6" s="5"/>
      <c r="E6" s="6" t="s">
        <v>11</v>
      </c>
      <c r="F6" s="7" t="s">
        <v>11</v>
      </c>
      <c r="G6" s="8"/>
      <c r="H6" s="4"/>
    </row>
    <row r="7" spans="1:8">
      <c r="A7" s="2" t="s">
        <v>244</v>
      </c>
      <c r="B7" s="3" t="s">
        <v>245</v>
      </c>
      <c r="C7" s="4" t="s">
        <v>246</v>
      </c>
      <c r="D7" s="5" t="s">
        <v>11</v>
      </c>
      <c r="E7" s="6" t="s">
        <v>11</v>
      </c>
      <c r="F7" s="7" t="s">
        <v>11</v>
      </c>
      <c r="G7" s="8"/>
      <c r="H7" s="4"/>
    </row>
    <row r="8" spans="1:8">
      <c r="A8" s="2" t="s">
        <v>247</v>
      </c>
      <c r="B8" s="3" t="s">
        <v>245</v>
      </c>
      <c r="C8" s="4" t="s">
        <v>248</v>
      </c>
      <c r="D8" s="5" t="s">
        <v>249</v>
      </c>
      <c r="E8" s="6" t="s">
        <v>250</v>
      </c>
      <c r="F8" s="7" t="s">
        <v>251</v>
      </c>
      <c r="G8" s="8"/>
      <c r="H8" s="4"/>
    </row>
    <row r="9" spans="1:8">
      <c r="A9" s="2" t="s">
        <v>252</v>
      </c>
      <c r="B9" s="3" t="s">
        <v>245</v>
      </c>
      <c r="C9" s="4" t="s">
        <v>253</v>
      </c>
      <c r="D9" s="5"/>
      <c r="E9" s="6" t="s">
        <v>11</v>
      </c>
      <c r="F9" s="7" t="s">
        <v>11</v>
      </c>
      <c r="G9" s="8"/>
      <c r="H9" s="4"/>
    </row>
    <row r="10" spans="1:8">
      <c r="A10" s="2" t="s">
        <v>254</v>
      </c>
      <c r="B10" s="3" t="s">
        <v>245</v>
      </c>
      <c r="C10" s="4" t="s">
        <v>255</v>
      </c>
      <c r="D10" s="5"/>
      <c r="E10" s="6" t="s">
        <v>11</v>
      </c>
      <c r="F10" s="7" t="s">
        <v>11</v>
      </c>
      <c r="G10" s="8"/>
      <c r="H10" s="4"/>
    </row>
    <row r="11" spans="1:8">
      <c r="A11" s="2" t="s">
        <v>256</v>
      </c>
      <c r="B11" s="3" t="s">
        <v>257</v>
      </c>
      <c r="C11" s="4" t="s">
        <v>258</v>
      </c>
      <c r="D11" s="5" t="s">
        <v>11</v>
      </c>
      <c r="E11" s="6" t="s">
        <v>11</v>
      </c>
      <c r="F11" s="7" t="s">
        <v>11</v>
      </c>
      <c r="G11" s="8"/>
      <c r="H11" s="4"/>
    </row>
    <row r="12" spans="1:8">
      <c r="A12" s="2" t="s">
        <v>259</v>
      </c>
      <c r="B12" s="3" t="s">
        <v>257</v>
      </c>
      <c r="C12" s="4" t="s">
        <v>260</v>
      </c>
      <c r="D12" s="5" t="s">
        <v>11</v>
      </c>
      <c r="E12" s="6" t="s">
        <v>11</v>
      </c>
      <c r="F12" s="7" t="s">
        <v>11</v>
      </c>
      <c r="G12" s="8"/>
      <c r="H12" s="4"/>
    </row>
    <row r="13" spans="1:8">
      <c r="A13" s="2" t="s">
        <v>261</v>
      </c>
      <c r="B13" s="3" t="s">
        <v>257</v>
      </c>
      <c r="C13" s="4" t="s">
        <v>262</v>
      </c>
      <c r="D13" s="5" t="s">
        <v>11</v>
      </c>
      <c r="E13" s="6" t="s">
        <v>11</v>
      </c>
      <c r="F13" s="7" t="s">
        <v>11</v>
      </c>
      <c r="G13" s="8"/>
      <c r="H13" s="4"/>
    </row>
    <row r="14" spans="1:8">
      <c r="A14" s="2" t="s">
        <v>263</v>
      </c>
      <c r="B14" s="3" t="s">
        <v>257</v>
      </c>
      <c r="C14" s="4" t="s">
        <v>264</v>
      </c>
      <c r="D14" s="5" t="s">
        <v>11</v>
      </c>
      <c r="E14" s="6" t="s">
        <v>11</v>
      </c>
      <c r="F14" s="7" t="s">
        <v>11</v>
      </c>
      <c r="G14" s="8"/>
      <c r="H14" s="4"/>
    </row>
    <row r="15" spans="1:8">
      <c r="A15" s="2" t="s">
        <v>265</v>
      </c>
      <c r="B15" s="3" t="s">
        <v>257</v>
      </c>
      <c r="C15" s="4" t="s">
        <v>266</v>
      </c>
      <c r="D15" s="5" t="s">
        <v>11</v>
      </c>
      <c r="E15" s="6" t="s">
        <v>11</v>
      </c>
      <c r="F15" s="7" t="s">
        <v>11</v>
      </c>
      <c r="G15" s="8"/>
      <c r="H15" s="4"/>
    </row>
    <row r="16" spans="1:8">
      <c r="A16" s="2" t="s">
        <v>267</v>
      </c>
      <c r="B16" s="3" t="s">
        <v>268</v>
      </c>
      <c r="C16" s="4" t="s">
        <v>269</v>
      </c>
      <c r="D16" s="5"/>
      <c r="E16" s="6" t="s">
        <v>11</v>
      </c>
      <c r="F16" s="7" t="s">
        <v>11</v>
      </c>
      <c r="G16" s="8"/>
      <c r="H16" s="4"/>
    </row>
    <row r="17" spans="1:8">
      <c r="A17" s="2" t="s">
        <v>270</v>
      </c>
      <c r="B17" s="3" t="s">
        <v>268</v>
      </c>
      <c r="C17" s="4" t="s">
        <v>271</v>
      </c>
      <c r="D17" s="5"/>
      <c r="E17" s="6" t="s">
        <v>11</v>
      </c>
      <c r="F17" s="7" t="s">
        <v>11</v>
      </c>
      <c r="G17" s="8"/>
      <c r="H17" s="4"/>
    </row>
    <row r="18" spans="1:8">
      <c r="A18" s="2" t="s">
        <v>272</v>
      </c>
      <c r="B18" s="3" t="s">
        <v>268</v>
      </c>
      <c r="C18" s="4" t="s">
        <v>273</v>
      </c>
      <c r="D18" s="5"/>
      <c r="E18" s="6" t="s">
        <v>11</v>
      </c>
      <c r="F18" s="7" t="s">
        <v>11</v>
      </c>
      <c r="G18" s="8"/>
      <c r="H18" s="4"/>
    </row>
    <row r="19" spans="1:8">
      <c r="A19" s="2" t="s">
        <v>274</v>
      </c>
      <c r="B19" s="3" t="s">
        <v>275</v>
      </c>
      <c r="C19" s="4" t="s">
        <v>276</v>
      </c>
      <c r="D19" s="5"/>
      <c r="E19" s="6"/>
      <c r="F19" s="7" t="s">
        <v>11</v>
      </c>
      <c r="G19" s="8"/>
      <c r="H19" s="4"/>
    </row>
    <row r="20" spans="1:8">
      <c r="A20" s="2" t="s">
        <v>277</v>
      </c>
      <c r="B20" s="3" t="s">
        <v>275</v>
      </c>
      <c r="C20" s="4" t="s">
        <v>278</v>
      </c>
      <c r="D20" s="5"/>
      <c r="E20" s="6"/>
      <c r="F20" s="7" t="s">
        <v>11</v>
      </c>
      <c r="G20" s="8"/>
      <c r="H20" s="4"/>
    </row>
    <row r="21" spans="1:8">
      <c r="A21" s="2" t="s">
        <v>279</v>
      </c>
      <c r="B21" s="3" t="s">
        <v>280</v>
      </c>
      <c r="C21" s="4" t="s">
        <v>281</v>
      </c>
      <c r="D21" s="5" t="s">
        <v>11</v>
      </c>
      <c r="E21" s="6" t="s">
        <v>11</v>
      </c>
      <c r="F21" s="7" t="s">
        <v>11</v>
      </c>
      <c r="G21" s="8"/>
      <c r="H21" s="4"/>
    </row>
  </sheetData>
  <conditionalFormatting sqref="G2:G21">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21">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H11"/>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282</v>
      </c>
      <c r="B2" s="3" t="s">
        <v>283</v>
      </c>
      <c r="C2" s="4" t="s">
        <v>284</v>
      </c>
      <c r="D2" s="5" t="s">
        <v>11</v>
      </c>
      <c r="E2" s="6" t="s">
        <v>11</v>
      </c>
      <c r="F2" s="7" t="s">
        <v>11</v>
      </c>
      <c r="G2" s="8"/>
      <c r="H2" s="4"/>
    </row>
    <row r="3" spans="1:8">
      <c r="A3" s="2" t="s">
        <v>285</v>
      </c>
      <c r="B3" s="3" t="s">
        <v>283</v>
      </c>
      <c r="C3" s="4" t="s">
        <v>286</v>
      </c>
      <c r="D3" s="5" t="s">
        <v>11</v>
      </c>
      <c r="E3" s="6" t="s">
        <v>11</v>
      </c>
      <c r="F3" s="7" t="s">
        <v>11</v>
      </c>
      <c r="G3" s="8"/>
      <c r="H3" s="4"/>
    </row>
    <row r="4" spans="1:8">
      <c r="A4" s="2" t="s">
        <v>287</v>
      </c>
      <c r="B4" s="3" t="s">
        <v>283</v>
      </c>
      <c r="C4" s="4" t="s">
        <v>288</v>
      </c>
      <c r="D4" s="5" t="s">
        <v>11</v>
      </c>
      <c r="E4" s="6" t="s">
        <v>11</v>
      </c>
      <c r="F4" s="7" t="s">
        <v>11</v>
      </c>
      <c r="G4" s="8"/>
      <c r="H4" s="4"/>
    </row>
    <row r="5" spans="1:8">
      <c r="A5" s="2" t="s">
        <v>289</v>
      </c>
      <c r="B5" s="3" t="s">
        <v>283</v>
      </c>
      <c r="C5" s="4" t="s">
        <v>39</v>
      </c>
      <c r="D5" s="5"/>
      <c r="E5" s="6"/>
      <c r="F5" s="7"/>
      <c r="G5" s="8"/>
      <c r="H5" s="4"/>
    </row>
    <row r="6" spans="1:8">
      <c r="A6" s="2" t="s">
        <v>290</v>
      </c>
      <c r="B6" s="3" t="s">
        <v>283</v>
      </c>
      <c r="C6" s="4" t="s">
        <v>291</v>
      </c>
      <c r="D6" s="5" t="s">
        <v>11</v>
      </c>
      <c r="E6" s="6" t="s">
        <v>11</v>
      </c>
      <c r="F6" s="7" t="s">
        <v>11</v>
      </c>
      <c r="G6" s="8"/>
      <c r="H6" s="4"/>
    </row>
    <row r="7" spans="1:8">
      <c r="A7" s="2" t="s">
        <v>292</v>
      </c>
      <c r="B7" s="3" t="s">
        <v>293</v>
      </c>
      <c r="C7" s="4" t="s">
        <v>294</v>
      </c>
      <c r="D7" s="5" t="s">
        <v>11</v>
      </c>
      <c r="E7" s="6" t="s">
        <v>11</v>
      </c>
      <c r="F7" s="7" t="s">
        <v>11</v>
      </c>
      <c r="G7" s="8"/>
      <c r="H7" s="4"/>
    </row>
    <row r="8" spans="1:8">
      <c r="A8" s="2" t="s">
        <v>295</v>
      </c>
      <c r="B8" s="3" t="s">
        <v>293</v>
      </c>
      <c r="C8" s="4" t="s">
        <v>296</v>
      </c>
      <c r="D8" s="5" t="s">
        <v>11</v>
      </c>
      <c r="E8" s="6" t="s">
        <v>11</v>
      </c>
      <c r="F8" s="7" t="s">
        <v>11</v>
      </c>
      <c r="G8" s="8"/>
      <c r="H8" s="4"/>
    </row>
    <row r="9" spans="1:8">
      <c r="A9" s="2" t="s">
        <v>297</v>
      </c>
      <c r="B9" s="3" t="s">
        <v>298</v>
      </c>
      <c r="C9" s="4" t="s">
        <v>299</v>
      </c>
      <c r="D9" s="5" t="s">
        <v>11</v>
      </c>
      <c r="E9" s="6" t="s">
        <v>11</v>
      </c>
      <c r="F9" s="7" t="s">
        <v>11</v>
      </c>
      <c r="G9" s="8"/>
      <c r="H9" s="4"/>
    </row>
    <row r="10" spans="1:8">
      <c r="A10" s="2" t="s">
        <v>300</v>
      </c>
      <c r="B10" s="3" t="s">
        <v>298</v>
      </c>
      <c r="C10" s="4" t="s">
        <v>301</v>
      </c>
      <c r="D10" s="5" t="s">
        <v>11</v>
      </c>
      <c r="E10" s="6" t="s">
        <v>11</v>
      </c>
      <c r="F10" s="7" t="s">
        <v>11</v>
      </c>
      <c r="G10" s="8"/>
      <c r="H10" s="4"/>
    </row>
    <row r="11" spans="1:8">
      <c r="A11" s="2" t="s">
        <v>302</v>
      </c>
      <c r="B11" s="3" t="s">
        <v>298</v>
      </c>
      <c r="C11" s="4" t="s">
        <v>303</v>
      </c>
      <c r="D11" s="5"/>
      <c r="E11" s="6" t="s">
        <v>11</v>
      </c>
      <c r="F11" s="7" t="s">
        <v>11</v>
      </c>
      <c r="G11" s="8"/>
      <c r="H11" s="4"/>
    </row>
  </sheetData>
  <conditionalFormatting sqref="G2:G11">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1">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H31"/>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304</v>
      </c>
      <c r="B2" s="3" t="s">
        <v>305</v>
      </c>
      <c r="C2" s="4" t="s">
        <v>306</v>
      </c>
      <c r="D2" s="5" t="s">
        <v>11</v>
      </c>
      <c r="E2" s="6" t="s">
        <v>11</v>
      </c>
      <c r="F2" s="7" t="s">
        <v>11</v>
      </c>
      <c r="G2" s="8"/>
      <c r="H2" s="4"/>
    </row>
    <row r="3" spans="1:8">
      <c r="A3" s="2" t="s">
        <v>307</v>
      </c>
      <c r="B3" s="3" t="s">
        <v>305</v>
      </c>
      <c r="C3" s="4" t="s">
        <v>308</v>
      </c>
      <c r="D3" s="5" t="s">
        <v>11</v>
      </c>
      <c r="E3" s="6" t="s">
        <v>11</v>
      </c>
      <c r="F3" s="7" t="s">
        <v>11</v>
      </c>
      <c r="G3" s="8"/>
      <c r="H3" s="4"/>
    </row>
    <row r="4" spans="1:8">
      <c r="A4" s="2" t="s">
        <v>309</v>
      </c>
      <c r="B4" s="3" t="s">
        <v>305</v>
      </c>
      <c r="C4" s="4" t="s">
        <v>310</v>
      </c>
      <c r="D4" s="5" t="s">
        <v>11</v>
      </c>
      <c r="E4" s="6" t="s">
        <v>11</v>
      </c>
      <c r="F4" s="7" t="s">
        <v>11</v>
      </c>
      <c r="G4" s="8"/>
      <c r="H4" s="4"/>
    </row>
    <row r="5" spans="1:8">
      <c r="A5" s="2" t="s">
        <v>311</v>
      </c>
      <c r="B5" s="3" t="s">
        <v>305</v>
      </c>
      <c r="C5" s="4" t="s">
        <v>312</v>
      </c>
      <c r="D5" s="5" t="s">
        <v>11</v>
      </c>
      <c r="E5" s="6" t="s">
        <v>11</v>
      </c>
      <c r="F5" s="7" t="s">
        <v>11</v>
      </c>
      <c r="G5" s="8"/>
      <c r="H5" s="4"/>
    </row>
    <row r="6" spans="1:8">
      <c r="A6" s="2" t="s">
        <v>313</v>
      </c>
      <c r="B6" s="3" t="s">
        <v>305</v>
      </c>
      <c r="C6" s="4" t="s">
        <v>314</v>
      </c>
      <c r="D6" s="5" t="s">
        <v>11</v>
      </c>
      <c r="E6" s="6" t="s">
        <v>11</v>
      </c>
      <c r="F6" s="7" t="s">
        <v>11</v>
      </c>
      <c r="G6" s="8"/>
      <c r="H6" s="4"/>
    </row>
    <row r="7" spans="1:8">
      <c r="A7" s="2" t="s">
        <v>315</v>
      </c>
      <c r="B7" s="3" t="s">
        <v>316</v>
      </c>
      <c r="C7" s="4" t="s">
        <v>317</v>
      </c>
      <c r="D7" s="5" t="s">
        <v>11</v>
      </c>
      <c r="E7" s="6" t="s">
        <v>11</v>
      </c>
      <c r="F7" s="7" t="s">
        <v>11</v>
      </c>
      <c r="G7" s="8"/>
      <c r="H7" s="4"/>
    </row>
    <row r="8" spans="1:8">
      <c r="A8" s="2" t="s">
        <v>318</v>
      </c>
      <c r="B8" s="3" t="s">
        <v>316</v>
      </c>
      <c r="C8" s="4" t="s">
        <v>319</v>
      </c>
      <c r="D8" s="5" t="s">
        <v>11</v>
      </c>
      <c r="E8" s="6" t="s">
        <v>11</v>
      </c>
      <c r="F8" s="7" t="s">
        <v>11</v>
      </c>
      <c r="G8" s="8"/>
      <c r="H8" s="4"/>
    </row>
    <row r="9" spans="1:8">
      <c r="A9" s="2" t="s">
        <v>320</v>
      </c>
      <c r="B9" s="3" t="s">
        <v>316</v>
      </c>
      <c r="C9" s="4" t="s">
        <v>321</v>
      </c>
      <c r="D9" s="5" t="s">
        <v>11</v>
      </c>
      <c r="E9" s="6" t="s">
        <v>11</v>
      </c>
      <c r="F9" s="7" t="s">
        <v>11</v>
      </c>
      <c r="G9" s="8"/>
      <c r="H9" s="4"/>
    </row>
    <row r="10" spans="1:8">
      <c r="A10" s="2" t="s">
        <v>322</v>
      </c>
      <c r="B10" s="3" t="s">
        <v>316</v>
      </c>
      <c r="C10" s="4" t="s">
        <v>323</v>
      </c>
      <c r="D10" s="5" t="s">
        <v>11</v>
      </c>
      <c r="E10" s="6" t="s">
        <v>11</v>
      </c>
      <c r="F10" s="7" t="s">
        <v>11</v>
      </c>
      <c r="G10" s="8"/>
      <c r="H10" s="4"/>
    </row>
    <row r="11" spans="1:8">
      <c r="A11" s="2" t="s">
        <v>324</v>
      </c>
      <c r="B11" s="3" t="s">
        <v>316</v>
      </c>
      <c r="C11" s="4" t="s">
        <v>325</v>
      </c>
      <c r="D11" s="5" t="s">
        <v>11</v>
      </c>
      <c r="E11" s="6" t="s">
        <v>11</v>
      </c>
      <c r="F11" s="7" t="s">
        <v>11</v>
      </c>
      <c r="G11" s="8"/>
      <c r="H11" s="4"/>
    </row>
    <row r="12" spans="1:8">
      <c r="A12" s="2" t="s">
        <v>326</v>
      </c>
      <c r="B12" s="3" t="s">
        <v>316</v>
      </c>
      <c r="C12" s="4" t="s">
        <v>327</v>
      </c>
      <c r="D12" s="5" t="s">
        <v>11</v>
      </c>
      <c r="E12" s="6" t="s">
        <v>11</v>
      </c>
      <c r="F12" s="7" t="s">
        <v>11</v>
      </c>
      <c r="G12" s="8"/>
      <c r="H12" s="4"/>
    </row>
    <row r="13" spans="1:8">
      <c r="A13" s="2" t="s">
        <v>328</v>
      </c>
      <c r="B13" s="3" t="s">
        <v>316</v>
      </c>
      <c r="C13" s="4" t="s">
        <v>329</v>
      </c>
      <c r="D13" s="5" t="s">
        <v>11</v>
      </c>
      <c r="E13" s="6" t="s">
        <v>11</v>
      </c>
      <c r="F13" s="7" t="s">
        <v>11</v>
      </c>
      <c r="G13" s="8"/>
      <c r="H13" s="4"/>
    </row>
    <row r="14" spans="1:8">
      <c r="A14" s="2" t="s">
        <v>330</v>
      </c>
      <c r="B14" s="3" t="s">
        <v>316</v>
      </c>
      <c r="C14" s="4" t="s">
        <v>331</v>
      </c>
      <c r="D14" s="5" t="s">
        <v>11</v>
      </c>
      <c r="E14" s="6" t="s">
        <v>11</v>
      </c>
      <c r="F14" s="7" t="s">
        <v>11</v>
      </c>
      <c r="G14" s="8"/>
      <c r="H14" s="4"/>
    </row>
    <row r="15" spans="1:8">
      <c r="A15" s="2" t="s">
        <v>332</v>
      </c>
      <c r="B15" s="3" t="s">
        <v>333</v>
      </c>
      <c r="C15" s="4" t="s">
        <v>334</v>
      </c>
      <c r="D15" s="5" t="s">
        <v>11</v>
      </c>
      <c r="E15" s="6" t="s">
        <v>11</v>
      </c>
      <c r="F15" s="7" t="s">
        <v>11</v>
      </c>
      <c r="G15" s="8"/>
      <c r="H15" s="4"/>
    </row>
    <row r="16" spans="1:8">
      <c r="A16" s="2" t="s">
        <v>335</v>
      </c>
      <c r="B16" s="3" t="s">
        <v>333</v>
      </c>
      <c r="C16" s="4" t="s">
        <v>336</v>
      </c>
      <c r="D16" s="5" t="s">
        <v>11</v>
      </c>
      <c r="E16" s="6" t="s">
        <v>11</v>
      </c>
      <c r="F16" s="7" t="s">
        <v>11</v>
      </c>
      <c r="G16" s="8"/>
      <c r="H16" s="4"/>
    </row>
    <row r="17" spans="1:8">
      <c r="A17" s="2" t="s">
        <v>337</v>
      </c>
      <c r="B17" s="3" t="s">
        <v>333</v>
      </c>
      <c r="C17" s="4" t="s">
        <v>338</v>
      </c>
      <c r="D17" s="5" t="s">
        <v>11</v>
      </c>
      <c r="E17" s="6" t="s">
        <v>11</v>
      </c>
      <c r="F17" s="7" t="s">
        <v>11</v>
      </c>
      <c r="G17" s="8"/>
      <c r="H17" s="4"/>
    </row>
    <row r="18" spans="1:8">
      <c r="A18" s="2" t="s">
        <v>339</v>
      </c>
      <c r="B18" s="3" t="s">
        <v>333</v>
      </c>
      <c r="C18" s="4" t="s">
        <v>340</v>
      </c>
      <c r="D18" s="5" t="s">
        <v>11</v>
      </c>
      <c r="E18" s="6" t="s">
        <v>11</v>
      </c>
      <c r="F18" s="7" t="s">
        <v>11</v>
      </c>
      <c r="G18" s="8"/>
      <c r="H18" s="4"/>
    </row>
    <row r="19" spans="1:8">
      <c r="A19" s="2" t="s">
        <v>341</v>
      </c>
      <c r="B19" s="3" t="s">
        <v>333</v>
      </c>
      <c r="C19" s="4" t="s">
        <v>342</v>
      </c>
      <c r="D19" s="5" t="s">
        <v>11</v>
      </c>
      <c r="E19" s="6" t="s">
        <v>11</v>
      </c>
      <c r="F19" s="7" t="s">
        <v>11</v>
      </c>
      <c r="G19" s="8"/>
      <c r="H19" s="4"/>
    </row>
    <row r="20" spans="1:8">
      <c r="A20" s="2" t="s">
        <v>343</v>
      </c>
      <c r="B20" s="3" t="s">
        <v>333</v>
      </c>
      <c r="C20" s="4" t="s">
        <v>344</v>
      </c>
      <c r="D20" s="5" t="s">
        <v>11</v>
      </c>
      <c r="E20" s="6" t="s">
        <v>11</v>
      </c>
      <c r="F20" s="7" t="s">
        <v>11</v>
      </c>
      <c r="G20" s="8"/>
      <c r="H20" s="4"/>
    </row>
    <row r="21" spans="1:8">
      <c r="A21" s="2" t="s">
        <v>345</v>
      </c>
      <c r="B21" s="3" t="s">
        <v>333</v>
      </c>
      <c r="C21" s="4" t="s">
        <v>346</v>
      </c>
      <c r="D21" s="5" t="s">
        <v>11</v>
      </c>
      <c r="E21" s="6" t="s">
        <v>11</v>
      </c>
      <c r="F21" s="7" t="s">
        <v>11</v>
      </c>
      <c r="G21" s="8"/>
      <c r="H21" s="4"/>
    </row>
    <row r="22" spans="1:8">
      <c r="A22" s="2" t="s">
        <v>347</v>
      </c>
      <c r="B22" s="3" t="s">
        <v>333</v>
      </c>
      <c r="C22" s="4" t="s">
        <v>348</v>
      </c>
      <c r="D22" s="5" t="s">
        <v>11</v>
      </c>
      <c r="E22" s="6" t="s">
        <v>11</v>
      </c>
      <c r="F22" s="7" t="s">
        <v>11</v>
      </c>
      <c r="G22" s="8"/>
      <c r="H22" s="4"/>
    </row>
    <row r="23" spans="1:8">
      <c r="A23" s="2" t="s">
        <v>349</v>
      </c>
      <c r="B23" s="3" t="s">
        <v>333</v>
      </c>
      <c r="C23" s="4" t="s">
        <v>350</v>
      </c>
      <c r="D23" s="5" t="s">
        <v>11</v>
      </c>
      <c r="E23" s="6" t="s">
        <v>11</v>
      </c>
      <c r="F23" s="7" t="s">
        <v>11</v>
      </c>
      <c r="G23" s="8"/>
      <c r="H23" s="4"/>
    </row>
    <row r="24" spans="1:8">
      <c r="A24" s="2" t="s">
        <v>351</v>
      </c>
      <c r="B24" s="3" t="s">
        <v>333</v>
      </c>
      <c r="C24" s="4" t="s">
        <v>352</v>
      </c>
      <c r="D24" s="5" t="s">
        <v>11</v>
      </c>
      <c r="E24" s="6" t="s">
        <v>11</v>
      </c>
      <c r="F24" s="7" t="s">
        <v>11</v>
      </c>
      <c r="G24" s="8"/>
      <c r="H24" s="4"/>
    </row>
    <row r="25" spans="1:8">
      <c r="A25" s="2" t="s">
        <v>353</v>
      </c>
      <c r="B25" s="3" t="s">
        <v>354</v>
      </c>
      <c r="C25" s="4" t="s">
        <v>355</v>
      </c>
      <c r="D25" s="5"/>
      <c r="E25" s="6" t="s">
        <v>11</v>
      </c>
      <c r="F25" s="7" t="s">
        <v>11</v>
      </c>
      <c r="G25" s="8"/>
      <c r="H25" s="4"/>
    </row>
    <row r="26" spans="1:8">
      <c r="A26" s="2" t="s">
        <v>356</v>
      </c>
      <c r="B26" s="3" t="s">
        <v>354</v>
      </c>
      <c r="C26" s="4" t="s">
        <v>357</v>
      </c>
      <c r="D26" s="5"/>
      <c r="E26" s="6" t="s">
        <v>11</v>
      </c>
      <c r="F26" s="7" t="s">
        <v>11</v>
      </c>
      <c r="G26" s="8"/>
      <c r="H26" s="4"/>
    </row>
    <row r="27" spans="1:8">
      <c r="A27" s="2" t="s">
        <v>358</v>
      </c>
      <c r="B27" s="3" t="s">
        <v>354</v>
      </c>
      <c r="C27" s="4" t="s">
        <v>359</v>
      </c>
      <c r="D27" s="5"/>
      <c r="E27" s="6" t="s">
        <v>11</v>
      </c>
      <c r="F27" s="7" t="s">
        <v>11</v>
      </c>
      <c r="G27" s="8"/>
      <c r="H27" s="4"/>
    </row>
    <row r="28" spans="1:8">
      <c r="A28" s="2" t="s">
        <v>360</v>
      </c>
      <c r="B28" s="3" t="s">
        <v>361</v>
      </c>
      <c r="C28" s="4" t="s">
        <v>362</v>
      </c>
      <c r="D28" s="5" t="s">
        <v>11</v>
      </c>
      <c r="E28" s="6" t="s">
        <v>11</v>
      </c>
      <c r="F28" s="7" t="s">
        <v>11</v>
      </c>
      <c r="G28" s="8"/>
      <c r="H28" s="4"/>
    </row>
    <row r="29" spans="1:8">
      <c r="A29" s="2" t="s">
        <v>363</v>
      </c>
      <c r="B29" s="3" t="s">
        <v>361</v>
      </c>
      <c r="C29" s="4" t="s">
        <v>364</v>
      </c>
      <c r="D29" s="5" t="s">
        <v>11</v>
      </c>
      <c r="E29" s="6" t="s">
        <v>11</v>
      </c>
      <c r="F29" s="7" t="s">
        <v>11</v>
      </c>
      <c r="G29" s="8"/>
      <c r="H29" s="4"/>
    </row>
    <row r="30" spans="1:8">
      <c r="A30" s="2" t="s">
        <v>365</v>
      </c>
      <c r="B30" s="3" t="s">
        <v>361</v>
      </c>
      <c r="C30" s="4" t="s">
        <v>366</v>
      </c>
      <c r="D30" s="5" t="s">
        <v>11</v>
      </c>
      <c r="E30" s="6" t="s">
        <v>11</v>
      </c>
      <c r="F30" s="7" t="s">
        <v>11</v>
      </c>
      <c r="G30" s="8"/>
      <c r="H30" s="4"/>
    </row>
    <row r="31" spans="1:8">
      <c r="A31" s="2" t="s">
        <v>367</v>
      </c>
      <c r="B31" s="3" t="s">
        <v>361</v>
      </c>
      <c r="C31" s="4" t="s">
        <v>368</v>
      </c>
      <c r="D31" s="5" t="s">
        <v>11</v>
      </c>
      <c r="E31" s="6" t="s">
        <v>11</v>
      </c>
      <c r="F31" s="7" t="s">
        <v>11</v>
      </c>
      <c r="G31" s="8"/>
      <c r="H31" s="4"/>
    </row>
  </sheetData>
  <conditionalFormatting sqref="G2:G31">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31">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 type="list" allowBlank="1" showInputMessage="1" showErrorMessage="1" errorTitle="Invalid Input" error="Invalid input. Choose Yes, No, Partially or Not applicable." sqref="G22">
      <formula1>"Yes,No,Partially,Not applicable"</formula1>
    </dataValidation>
    <dataValidation type="list" allowBlank="1" showInputMessage="1" showErrorMessage="1" errorTitle="Invalid Input" error="Invalid input. Choose Yes, No, Partially or Not applicable." sqref="G23">
      <formula1>"Yes,No,Partially,Not applicable"</formula1>
    </dataValidation>
    <dataValidation type="list" allowBlank="1" showInputMessage="1" showErrorMessage="1" errorTitle="Invalid Input" error="Invalid input. Choose Yes, No, Partially or Not applicable." sqref="G24">
      <formula1>"Yes,No,Partially,Not applicable"</formula1>
    </dataValidation>
    <dataValidation type="list" allowBlank="1" showInputMessage="1" showErrorMessage="1" errorTitle="Invalid Input" error="Invalid input. Choose Yes, No, Partially or Not applicable." sqref="G25">
      <formula1>"Yes,No,Partially,Not applicable"</formula1>
    </dataValidation>
    <dataValidation type="list" allowBlank="1" showInputMessage="1" showErrorMessage="1" errorTitle="Invalid Input" error="Invalid input. Choose Yes, No, Partially or Not applicable." sqref="G26">
      <formula1>"Yes,No,Partially,Not applicable"</formula1>
    </dataValidation>
    <dataValidation type="list" allowBlank="1" showInputMessage="1" showErrorMessage="1" errorTitle="Invalid Input" error="Invalid input. Choose Yes, No, Partially or Not applicable." sqref="G27">
      <formula1>"Yes,No,Partially,Not applicable"</formula1>
    </dataValidation>
    <dataValidation type="list" allowBlank="1" showInputMessage="1" showErrorMessage="1" errorTitle="Invalid Input" error="Invalid input. Choose Yes, No, Partially or Not applicable." sqref="G28">
      <formula1>"Yes,No,Partially,Not applicable"</formula1>
    </dataValidation>
    <dataValidation type="list" allowBlank="1" showInputMessage="1" showErrorMessage="1" errorTitle="Invalid Input" error="Invalid input. Choose Yes, No, Partially or Not applicable." sqref="G29">
      <formula1>"Yes,No,Partially,Not applicable"</formula1>
    </dataValidation>
    <dataValidation type="list" allowBlank="1" showInputMessage="1" showErrorMessage="1" errorTitle="Invalid Input" error="Invalid input. Choose Yes, No, Partially or Not applicable." sqref="G30">
      <formula1>"Yes,No,Partially,Not applicable"</formula1>
    </dataValidation>
    <dataValidation type="list" allowBlank="1" showInputMessage="1" showErrorMessage="1" errorTitle="Invalid Input" error="Invalid input. Choose Yes, No, Partially or Not applicable." sqref="G31">
      <formula1>"Yes,No,Partially,Not applicable"</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H17"/>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369</v>
      </c>
      <c r="B2" s="3" t="s">
        <v>370</v>
      </c>
      <c r="C2" s="4" t="s">
        <v>371</v>
      </c>
      <c r="D2" s="5"/>
      <c r="E2" s="6" t="s">
        <v>11</v>
      </c>
      <c r="F2" s="7" t="s">
        <v>11</v>
      </c>
      <c r="G2" s="8"/>
      <c r="H2" s="4"/>
    </row>
    <row r="3" spans="1:8">
      <c r="A3" s="2" t="s">
        <v>372</v>
      </c>
      <c r="B3" s="3" t="s">
        <v>370</v>
      </c>
      <c r="C3" s="4" t="s">
        <v>373</v>
      </c>
      <c r="D3" s="5"/>
      <c r="E3" s="6" t="s">
        <v>11</v>
      </c>
      <c r="F3" s="7" t="s">
        <v>11</v>
      </c>
      <c r="G3" s="8"/>
      <c r="H3" s="4"/>
    </row>
    <row r="4" spans="1:8">
      <c r="A4" s="2" t="s">
        <v>374</v>
      </c>
      <c r="B4" s="3" t="s">
        <v>370</v>
      </c>
      <c r="C4" s="4" t="s">
        <v>375</v>
      </c>
      <c r="D4" s="5"/>
      <c r="E4" s="6" t="s">
        <v>11</v>
      </c>
      <c r="F4" s="7" t="s">
        <v>11</v>
      </c>
      <c r="G4" s="8"/>
      <c r="H4" s="4"/>
    </row>
    <row r="5" spans="1:8">
      <c r="A5" s="2" t="s">
        <v>376</v>
      </c>
      <c r="B5" s="3" t="s">
        <v>377</v>
      </c>
      <c r="C5" s="4" t="s">
        <v>378</v>
      </c>
      <c r="D5" s="5" t="s">
        <v>11</v>
      </c>
      <c r="E5" s="6" t="s">
        <v>11</v>
      </c>
      <c r="F5" s="7" t="s">
        <v>11</v>
      </c>
      <c r="G5" s="8"/>
      <c r="H5" s="4"/>
    </row>
    <row r="6" spans="1:8">
      <c r="A6" s="2" t="s">
        <v>379</v>
      </c>
      <c r="B6" s="3" t="s">
        <v>377</v>
      </c>
      <c r="C6" s="4" t="s">
        <v>380</v>
      </c>
      <c r="D6" s="5"/>
      <c r="E6" s="6" t="s">
        <v>11</v>
      </c>
      <c r="F6" s="7" t="s">
        <v>11</v>
      </c>
      <c r="G6" s="8"/>
      <c r="H6" s="4"/>
    </row>
    <row r="7" spans="1:8">
      <c r="A7" s="2" t="s">
        <v>381</v>
      </c>
      <c r="B7" s="3" t="s">
        <v>377</v>
      </c>
      <c r="C7" s="4" t="s">
        <v>382</v>
      </c>
      <c r="D7" s="5"/>
      <c r="E7" s="6" t="s">
        <v>11</v>
      </c>
      <c r="F7" s="7" t="s">
        <v>11</v>
      </c>
      <c r="G7" s="8"/>
      <c r="H7" s="4"/>
    </row>
    <row r="8" spans="1:8">
      <c r="A8" s="2" t="s">
        <v>383</v>
      </c>
      <c r="B8" s="3" t="s">
        <v>377</v>
      </c>
      <c r="C8" s="4" t="s">
        <v>384</v>
      </c>
      <c r="D8" s="5"/>
      <c r="E8" s="6" t="s">
        <v>11</v>
      </c>
      <c r="F8" s="7" t="s">
        <v>11</v>
      </c>
      <c r="G8" s="8"/>
      <c r="H8" s="4"/>
    </row>
    <row r="9" spans="1:8">
      <c r="A9" s="2" t="s">
        <v>385</v>
      </c>
      <c r="B9" s="3" t="s">
        <v>377</v>
      </c>
      <c r="C9" s="4" t="s">
        <v>386</v>
      </c>
      <c r="D9" s="5"/>
      <c r="E9" s="6" t="s">
        <v>11</v>
      </c>
      <c r="F9" s="7" t="s">
        <v>11</v>
      </c>
      <c r="G9" s="8"/>
      <c r="H9" s="4"/>
    </row>
    <row r="10" spans="1:8">
      <c r="A10" s="2" t="s">
        <v>387</v>
      </c>
      <c r="B10" s="3" t="s">
        <v>377</v>
      </c>
      <c r="C10" s="4" t="s">
        <v>388</v>
      </c>
      <c r="D10" s="5"/>
      <c r="E10" s="6" t="s">
        <v>11</v>
      </c>
      <c r="F10" s="7" t="s">
        <v>11</v>
      </c>
      <c r="G10" s="8"/>
      <c r="H10" s="4"/>
    </row>
    <row r="11" spans="1:8">
      <c r="A11" s="2" t="s">
        <v>389</v>
      </c>
      <c r="B11" s="3" t="s">
        <v>377</v>
      </c>
      <c r="C11" s="4" t="s">
        <v>390</v>
      </c>
      <c r="D11" s="5"/>
      <c r="E11" s="6"/>
      <c r="F11" s="7" t="s">
        <v>11</v>
      </c>
      <c r="G11" s="8"/>
      <c r="H11" s="4"/>
    </row>
    <row r="12" spans="1:8">
      <c r="A12" s="2" t="s">
        <v>391</v>
      </c>
      <c r="B12" s="3" t="s">
        <v>377</v>
      </c>
      <c r="C12" s="4" t="s">
        <v>392</v>
      </c>
      <c r="D12" s="5"/>
      <c r="E12" s="6"/>
      <c r="F12" s="7" t="s">
        <v>11</v>
      </c>
      <c r="G12" s="8"/>
      <c r="H12" s="4"/>
    </row>
    <row r="13" spans="1:8">
      <c r="A13" s="2" t="s">
        <v>393</v>
      </c>
      <c r="B13" s="3" t="s">
        <v>394</v>
      </c>
      <c r="C13" s="4" t="s">
        <v>395</v>
      </c>
      <c r="D13" s="5"/>
      <c r="E13" s="6" t="s">
        <v>11</v>
      </c>
      <c r="F13" s="7" t="s">
        <v>11</v>
      </c>
      <c r="G13" s="8"/>
      <c r="H13" s="4"/>
    </row>
    <row r="14" spans="1:8">
      <c r="A14" s="2" t="s">
        <v>396</v>
      </c>
      <c r="B14" s="3" t="s">
        <v>394</v>
      </c>
      <c r="C14" s="4" t="s">
        <v>397</v>
      </c>
      <c r="D14" s="5"/>
      <c r="E14" s="6" t="s">
        <v>11</v>
      </c>
      <c r="F14" s="7" t="s">
        <v>11</v>
      </c>
      <c r="G14" s="8"/>
      <c r="H14" s="4"/>
    </row>
    <row r="15" spans="1:8">
      <c r="A15" s="2" t="s">
        <v>398</v>
      </c>
      <c r="B15" s="3" t="s">
        <v>394</v>
      </c>
      <c r="C15" s="4" t="s">
        <v>399</v>
      </c>
      <c r="D15" s="5"/>
      <c r="E15" s="6"/>
      <c r="F15" s="7" t="s">
        <v>11</v>
      </c>
      <c r="G15" s="8"/>
      <c r="H15" s="4"/>
    </row>
    <row r="16" spans="1:8">
      <c r="A16" s="2" t="s">
        <v>400</v>
      </c>
      <c r="B16" s="3" t="s">
        <v>401</v>
      </c>
      <c r="C16" s="4" t="s">
        <v>402</v>
      </c>
      <c r="D16" s="5"/>
      <c r="E16" s="6" t="s">
        <v>11</v>
      </c>
      <c r="F16" s="7" t="s">
        <v>11</v>
      </c>
      <c r="G16" s="8"/>
      <c r="H16" s="4"/>
    </row>
    <row r="17" spans="1:8">
      <c r="A17" s="2" t="s">
        <v>403</v>
      </c>
      <c r="B17" s="3" t="s">
        <v>401</v>
      </c>
      <c r="C17" s="4" t="s">
        <v>404</v>
      </c>
      <c r="D17" s="5"/>
      <c r="E17" s="6" t="s">
        <v>11</v>
      </c>
      <c r="F17" s="7" t="s">
        <v>11</v>
      </c>
      <c r="G17" s="8"/>
      <c r="H17" s="4"/>
    </row>
  </sheetData>
  <conditionalFormatting sqref="G2:G17">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7">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H14"/>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405</v>
      </c>
      <c r="B2" s="3" t="s">
        <v>406</v>
      </c>
      <c r="C2" s="4" t="s">
        <v>407</v>
      </c>
      <c r="D2" s="5" t="s">
        <v>11</v>
      </c>
      <c r="E2" s="6" t="s">
        <v>11</v>
      </c>
      <c r="F2" s="7" t="s">
        <v>11</v>
      </c>
      <c r="G2" s="8"/>
      <c r="H2" s="4"/>
    </row>
    <row r="3" spans="1:8">
      <c r="A3" s="2" t="s">
        <v>408</v>
      </c>
      <c r="B3" s="3" t="s">
        <v>406</v>
      </c>
      <c r="C3" s="4" t="s">
        <v>409</v>
      </c>
      <c r="D3" s="5" t="s">
        <v>11</v>
      </c>
      <c r="E3" s="6" t="s">
        <v>11</v>
      </c>
      <c r="F3" s="7" t="s">
        <v>11</v>
      </c>
      <c r="G3" s="8"/>
      <c r="H3" s="4"/>
    </row>
    <row r="4" spans="1:8">
      <c r="A4" s="2" t="s">
        <v>410</v>
      </c>
      <c r="B4" s="3" t="s">
        <v>406</v>
      </c>
      <c r="C4" s="4" t="s">
        <v>411</v>
      </c>
      <c r="D4" s="5"/>
      <c r="E4" s="6" t="s">
        <v>11</v>
      </c>
      <c r="F4" s="7" t="s">
        <v>11</v>
      </c>
      <c r="G4" s="8"/>
      <c r="H4" s="4"/>
    </row>
    <row r="5" spans="1:8">
      <c r="A5" s="2" t="s">
        <v>412</v>
      </c>
      <c r="B5" s="3" t="s">
        <v>406</v>
      </c>
      <c r="C5" s="4" t="s">
        <v>413</v>
      </c>
      <c r="D5" s="5"/>
      <c r="E5" s="6" t="s">
        <v>11</v>
      </c>
      <c r="F5" s="7" t="s">
        <v>11</v>
      </c>
      <c r="G5" s="8"/>
      <c r="H5" s="4"/>
    </row>
    <row r="6" spans="1:8">
      <c r="A6" s="2" t="s">
        <v>414</v>
      </c>
      <c r="B6" s="3" t="s">
        <v>415</v>
      </c>
      <c r="C6" s="4" t="s">
        <v>416</v>
      </c>
      <c r="D6" s="5"/>
      <c r="E6" s="6" t="s">
        <v>11</v>
      </c>
      <c r="F6" s="7" t="s">
        <v>11</v>
      </c>
      <c r="G6" s="8"/>
      <c r="H6" s="4"/>
    </row>
    <row r="7" spans="1:8">
      <c r="A7" s="2" t="s">
        <v>417</v>
      </c>
      <c r="B7" s="3" t="s">
        <v>415</v>
      </c>
      <c r="C7" s="4" t="s">
        <v>418</v>
      </c>
      <c r="D7" s="5"/>
      <c r="E7" s="6" t="s">
        <v>11</v>
      </c>
      <c r="F7" s="7" t="s">
        <v>11</v>
      </c>
      <c r="G7" s="8"/>
      <c r="H7" s="4"/>
    </row>
    <row r="8" spans="1:8">
      <c r="A8" s="2" t="s">
        <v>419</v>
      </c>
      <c r="B8" s="3" t="s">
        <v>420</v>
      </c>
      <c r="C8" s="4" t="s">
        <v>421</v>
      </c>
      <c r="D8" s="5"/>
      <c r="E8" s="6" t="s">
        <v>11</v>
      </c>
      <c r="F8" s="7" t="s">
        <v>11</v>
      </c>
      <c r="G8" s="8"/>
      <c r="H8" s="4"/>
    </row>
    <row r="9" spans="1:8">
      <c r="A9" s="2" t="s">
        <v>422</v>
      </c>
      <c r="B9" s="3" t="s">
        <v>420</v>
      </c>
      <c r="C9" s="4" t="s">
        <v>423</v>
      </c>
      <c r="D9" s="5"/>
      <c r="E9" s="6"/>
      <c r="F9" s="7"/>
      <c r="G9" s="8"/>
      <c r="H9" s="4"/>
    </row>
    <row r="10" spans="1:8">
      <c r="A10" s="2" t="s">
        <v>424</v>
      </c>
      <c r="B10" s="3" t="s">
        <v>420</v>
      </c>
      <c r="C10" s="4" t="s">
        <v>425</v>
      </c>
      <c r="D10" s="5"/>
      <c r="E10" s="6" t="s">
        <v>11</v>
      </c>
      <c r="F10" s="7" t="s">
        <v>11</v>
      </c>
      <c r="G10" s="8"/>
      <c r="H10" s="4"/>
    </row>
    <row r="11" spans="1:8">
      <c r="A11" s="2" t="s">
        <v>426</v>
      </c>
      <c r="B11" s="3" t="s">
        <v>420</v>
      </c>
      <c r="C11" s="4" t="s">
        <v>427</v>
      </c>
      <c r="D11" s="5"/>
      <c r="E11" s="6" t="s">
        <v>11</v>
      </c>
      <c r="F11" s="7" t="s">
        <v>11</v>
      </c>
      <c r="G11" s="8"/>
      <c r="H11" s="4"/>
    </row>
    <row r="12" spans="1:8">
      <c r="A12" s="2" t="s">
        <v>428</v>
      </c>
      <c r="B12" s="3" t="s">
        <v>429</v>
      </c>
      <c r="C12" s="4" t="s">
        <v>430</v>
      </c>
      <c r="D12" s="5" t="s">
        <v>11</v>
      </c>
      <c r="E12" s="6" t="s">
        <v>11</v>
      </c>
      <c r="F12" s="7" t="s">
        <v>11</v>
      </c>
      <c r="G12" s="8"/>
      <c r="H12" s="4"/>
    </row>
    <row r="13" spans="1:8">
      <c r="A13" s="2" t="s">
        <v>431</v>
      </c>
      <c r="B13" s="3" t="s">
        <v>429</v>
      </c>
      <c r="C13" s="4" t="s">
        <v>432</v>
      </c>
      <c r="D13" s="5"/>
      <c r="E13" s="6" t="s">
        <v>11</v>
      </c>
      <c r="F13" s="7" t="s">
        <v>11</v>
      </c>
      <c r="G13" s="8"/>
      <c r="H13" s="4"/>
    </row>
    <row r="14" spans="1:8">
      <c r="A14" s="2" t="s">
        <v>433</v>
      </c>
      <c r="B14" s="3" t="s">
        <v>429</v>
      </c>
      <c r="C14" s="4" t="s">
        <v>434</v>
      </c>
      <c r="D14" s="5"/>
      <c r="E14" s="6" t="s">
        <v>11</v>
      </c>
      <c r="F14" s="7" t="s">
        <v>11</v>
      </c>
      <c r="G14" s="8"/>
      <c r="H14" s="4"/>
    </row>
  </sheetData>
  <conditionalFormatting sqref="G2:G14">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4">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H18"/>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435</v>
      </c>
      <c r="B2" s="3" t="s">
        <v>436</v>
      </c>
      <c r="C2" s="4" t="s">
        <v>437</v>
      </c>
      <c r="D2" s="5"/>
      <c r="E2" s="6" t="s">
        <v>11</v>
      </c>
      <c r="F2" s="7" t="s">
        <v>11</v>
      </c>
      <c r="G2" s="8"/>
      <c r="H2" s="4"/>
    </row>
    <row r="3" spans="1:8">
      <c r="A3" s="2" t="s">
        <v>438</v>
      </c>
      <c r="B3" s="3" t="s">
        <v>436</v>
      </c>
      <c r="C3" s="4" t="s">
        <v>439</v>
      </c>
      <c r="D3" s="5"/>
      <c r="E3" s="6" t="s">
        <v>11</v>
      </c>
      <c r="F3" s="7" t="s">
        <v>11</v>
      </c>
      <c r="G3" s="8"/>
      <c r="H3" s="4"/>
    </row>
    <row r="4" spans="1:8">
      <c r="A4" s="2" t="s">
        <v>440</v>
      </c>
      <c r="B4" s="3" t="s">
        <v>436</v>
      </c>
      <c r="C4" s="4" t="s">
        <v>441</v>
      </c>
      <c r="D4" s="5"/>
      <c r="E4" s="6" t="s">
        <v>11</v>
      </c>
      <c r="F4" s="7" t="s">
        <v>11</v>
      </c>
      <c r="G4" s="8"/>
      <c r="H4" s="4"/>
    </row>
    <row r="5" spans="1:8">
      <c r="A5" s="2" t="s">
        <v>442</v>
      </c>
      <c r="B5" s="3" t="s">
        <v>436</v>
      </c>
      <c r="C5" s="4" t="s">
        <v>443</v>
      </c>
      <c r="D5" s="5"/>
      <c r="E5" s="6" t="s">
        <v>11</v>
      </c>
      <c r="F5" s="7" t="s">
        <v>11</v>
      </c>
      <c r="G5" s="8"/>
      <c r="H5" s="4"/>
    </row>
    <row r="6" spans="1:8">
      <c r="A6" s="2" t="s">
        <v>444</v>
      </c>
      <c r="B6" s="3" t="s">
        <v>436</v>
      </c>
      <c r="C6" s="4" t="s">
        <v>445</v>
      </c>
      <c r="D6" s="5"/>
      <c r="E6" s="6"/>
      <c r="F6" s="7" t="s">
        <v>11</v>
      </c>
      <c r="G6" s="8"/>
      <c r="H6" s="4"/>
    </row>
    <row r="7" spans="1:8">
      <c r="A7" s="2" t="s">
        <v>446</v>
      </c>
      <c r="B7" s="3" t="s">
        <v>436</v>
      </c>
      <c r="C7" s="4" t="s">
        <v>447</v>
      </c>
      <c r="D7" s="5"/>
      <c r="E7" s="6"/>
      <c r="F7" s="7" t="s">
        <v>11</v>
      </c>
      <c r="G7" s="8"/>
      <c r="H7" s="4"/>
    </row>
    <row r="8" spans="1:8">
      <c r="A8" s="2" t="s">
        <v>448</v>
      </c>
      <c r="B8" s="3" t="s">
        <v>449</v>
      </c>
      <c r="C8" s="4" t="s">
        <v>450</v>
      </c>
      <c r="D8" s="5" t="s">
        <v>11</v>
      </c>
      <c r="E8" s="6" t="s">
        <v>11</v>
      </c>
      <c r="F8" s="7" t="s">
        <v>11</v>
      </c>
      <c r="G8" s="8"/>
      <c r="H8" s="4"/>
    </row>
    <row r="9" spans="1:8">
      <c r="A9" s="2" t="s">
        <v>451</v>
      </c>
      <c r="B9" s="3" t="s">
        <v>449</v>
      </c>
      <c r="C9" s="4" t="s">
        <v>452</v>
      </c>
      <c r="D9" s="5" t="s">
        <v>11</v>
      </c>
      <c r="E9" s="6" t="s">
        <v>11</v>
      </c>
      <c r="F9" s="7" t="s">
        <v>11</v>
      </c>
      <c r="G9" s="8"/>
      <c r="H9" s="4"/>
    </row>
    <row r="10" spans="1:8">
      <c r="A10" s="2" t="s">
        <v>453</v>
      </c>
      <c r="B10" s="3" t="s">
        <v>449</v>
      </c>
      <c r="C10" s="4" t="s">
        <v>454</v>
      </c>
      <c r="D10" s="5" t="s">
        <v>11</v>
      </c>
      <c r="E10" s="6" t="s">
        <v>11</v>
      </c>
      <c r="F10" s="7" t="s">
        <v>11</v>
      </c>
      <c r="G10" s="8"/>
      <c r="H10" s="4"/>
    </row>
    <row r="11" spans="1:8">
      <c r="A11" s="2" t="s">
        <v>455</v>
      </c>
      <c r="B11" s="3" t="s">
        <v>456</v>
      </c>
      <c r="C11" s="4" t="s">
        <v>457</v>
      </c>
      <c r="D11" s="5" t="s">
        <v>11</v>
      </c>
      <c r="E11" s="6" t="s">
        <v>11</v>
      </c>
      <c r="F11" s="7" t="s">
        <v>11</v>
      </c>
      <c r="G11" s="8"/>
      <c r="H11" s="4"/>
    </row>
    <row r="12" spans="1:8">
      <c r="A12" s="2" t="s">
        <v>458</v>
      </c>
      <c r="B12" s="3" t="s">
        <v>456</v>
      </c>
      <c r="C12" s="4" t="s">
        <v>459</v>
      </c>
      <c r="D12" s="5" t="s">
        <v>11</v>
      </c>
      <c r="E12" s="6" t="s">
        <v>11</v>
      </c>
      <c r="F12" s="7" t="s">
        <v>11</v>
      </c>
      <c r="G12" s="8"/>
      <c r="H12" s="4"/>
    </row>
    <row r="13" spans="1:8">
      <c r="A13" s="2" t="s">
        <v>460</v>
      </c>
      <c r="B13" s="3" t="s">
        <v>456</v>
      </c>
      <c r="C13" s="4" t="s">
        <v>461</v>
      </c>
      <c r="D13" s="5" t="s">
        <v>11</v>
      </c>
      <c r="E13" s="6" t="s">
        <v>11</v>
      </c>
      <c r="F13" s="7" t="s">
        <v>11</v>
      </c>
      <c r="G13" s="8"/>
      <c r="H13" s="4"/>
    </row>
    <row r="14" spans="1:8">
      <c r="A14" s="2" t="s">
        <v>462</v>
      </c>
      <c r="B14" s="3" t="s">
        <v>456</v>
      </c>
      <c r="C14" s="4" t="s">
        <v>463</v>
      </c>
      <c r="D14" s="5" t="s">
        <v>11</v>
      </c>
      <c r="E14" s="6" t="s">
        <v>11</v>
      </c>
      <c r="F14" s="7" t="s">
        <v>11</v>
      </c>
      <c r="G14" s="8"/>
      <c r="H14" s="4"/>
    </row>
    <row r="15" spans="1:8">
      <c r="A15" s="2" t="s">
        <v>464</v>
      </c>
      <c r="B15" s="3" t="s">
        <v>456</v>
      </c>
      <c r="C15" s="4" t="s">
        <v>465</v>
      </c>
      <c r="D15" s="5"/>
      <c r="E15" s="6" t="s">
        <v>11</v>
      </c>
      <c r="F15" s="7" t="s">
        <v>11</v>
      </c>
      <c r="G15" s="8"/>
      <c r="H15" s="4"/>
    </row>
    <row r="16" spans="1:8">
      <c r="A16" s="2" t="s">
        <v>466</v>
      </c>
      <c r="B16" s="3" t="s">
        <v>456</v>
      </c>
      <c r="C16" s="4" t="s">
        <v>467</v>
      </c>
      <c r="D16" s="5"/>
      <c r="E16" s="6" t="s">
        <v>11</v>
      </c>
      <c r="F16" s="7" t="s">
        <v>11</v>
      </c>
      <c r="G16" s="8"/>
      <c r="H16" s="4"/>
    </row>
    <row r="17" spans="1:8">
      <c r="A17" s="2" t="s">
        <v>468</v>
      </c>
      <c r="B17" s="3" t="s">
        <v>456</v>
      </c>
      <c r="C17" s="4" t="s">
        <v>469</v>
      </c>
      <c r="D17" s="5"/>
      <c r="E17" s="6" t="s">
        <v>11</v>
      </c>
      <c r="F17" s="7" t="s">
        <v>11</v>
      </c>
      <c r="G17" s="8"/>
      <c r="H17" s="4"/>
    </row>
    <row r="18" spans="1:8">
      <c r="A18" s="2" t="s">
        <v>470</v>
      </c>
      <c r="B18" s="3" t="s">
        <v>456</v>
      </c>
      <c r="C18" s="4" t="s">
        <v>471</v>
      </c>
      <c r="D18" s="5"/>
      <c r="E18" s="6" t="s">
        <v>11</v>
      </c>
      <c r="F18" s="7" t="s">
        <v>11</v>
      </c>
      <c r="G18" s="8"/>
      <c r="H18" s="4"/>
    </row>
  </sheetData>
  <conditionalFormatting sqref="G2:G18">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8">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H9"/>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472</v>
      </c>
      <c r="B2" s="3" t="s">
        <v>473</v>
      </c>
      <c r="C2" s="4" t="s">
        <v>474</v>
      </c>
      <c r="D2" s="5" t="s">
        <v>11</v>
      </c>
      <c r="E2" s="6" t="s">
        <v>11</v>
      </c>
      <c r="F2" s="7" t="s">
        <v>11</v>
      </c>
      <c r="G2" s="8"/>
      <c r="H2" s="4"/>
    </row>
    <row r="3" spans="1:8">
      <c r="A3" s="2" t="s">
        <v>475</v>
      </c>
      <c r="B3" s="3" t="s">
        <v>473</v>
      </c>
      <c r="C3" s="4" t="s">
        <v>476</v>
      </c>
      <c r="D3" s="5" t="s">
        <v>11</v>
      </c>
      <c r="E3" s="6" t="s">
        <v>11</v>
      </c>
      <c r="F3" s="7" t="s">
        <v>11</v>
      </c>
      <c r="G3" s="8"/>
      <c r="H3" s="4"/>
    </row>
    <row r="4" spans="1:8">
      <c r="A4" s="2" t="s">
        <v>477</v>
      </c>
      <c r="B4" s="3" t="s">
        <v>473</v>
      </c>
      <c r="C4" s="4" t="s">
        <v>478</v>
      </c>
      <c r="D4" s="5" t="s">
        <v>11</v>
      </c>
      <c r="E4" s="6" t="s">
        <v>11</v>
      </c>
      <c r="F4" s="7" t="s">
        <v>11</v>
      </c>
      <c r="G4" s="8"/>
      <c r="H4" s="4"/>
    </row>
    <row r="5" spans="1:8">
      <c r="A5" s="2" t="s">
        <v>479</v>
      </c>
      <c r="B5" s="3" t="s">
        <v>480</v>
      </c>
      <c r="C5" s="4" t="s">
        <v>481</v>
      </c>
      <c r="D5" s="5"/>
      <c r="E5" s="6" t="s">
        <v>11</v>
      </c>
      <c r="F5" s="7" t="s">
        <v>11</v>
      </c>
      <c r="G5" s="8"/>
      <c r="H5" s="4"/>
    </row>
    <row r="6" spans="1:8">
      <c r="A6" s="2" t="s">
        <v>482</v>
      </c>
      <c r="B6" s="3" t="s">
        <v>480</v>
      </c>
      <c r="C6" s="4" t="s">
        <v>483</v>
      </c>
      <c r="D6" s="5"/>
      <c r="E6" s="6" t="s">
        <v>11</v>
      </c>
      <c r="F6" s="7" t="s">
        <v>11</v>
      </c>
      <c r="G6" s="8"/>
      <c r="H6" s="4"/>
    </row>
    <row r="7" spans="1:8">
      <c r="A7" s="2" t="s">
        <v>484</v>
      </c>
      <c r="B7" s="3" t="s">
        <v>480</v>
      </c>
      <c r="C7" s="4" t="s">
        <v>485</v>
      </c>
      <c r="D7" s="5"/>
      <c r="E7" s="6" t="s">
        <v>11</v>
      </c>
      <c r="F7" s="7" t="s">
        <v>11</v>
      </c>
      <c r="G7" s="8"/>
      <c r="H7" s="4"/>
    </row>
    <row r="8" spans="1:8">
      <c r="A8" s="2" t="s">
        <v>486</v>
      </c>
      <c r="B8" s="3" t="s">
        <v>480</v>
      </c>
      <c r="C8" s="4" t="s">
        <v>487</v>
      </c>
      <c r="D8" s="5"/>
      <c r="E8" s="6" t="s">
        <v>11</v>
      </c>
      <c r="F8" s="7" t="s">
        <v>11</v>
      </c>
      <c r="G8" s="8"/>
      <c r="H8" s="4"/>
    </row>
    <row r="9" spans="1:8">
      <c r="A9" s="2" t="s">
        <v>488</v>
      </c>
      <c r="B9" s="3" t="s">
        <v>480</v>
      </c>
      <c r="C9" s="4" t="s">
        <v>489</v>
      </c>
      <c r="D9" s="5"/>
      <c r="E9" s="6"/>
      <c r="F9" s="7" t="s">
        <v>11</v>
      </c>
      <c r="G9" s="8"/>
      <c r="H9" s="4"/>
    </row>
  </sheetData>
  <conditionalFormatting sqref="G2:G9">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9">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H11"/>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490</v>
      </c>
      <c r="B2" s="3" t="s">
        <v>491</v>
      </c>
      <c r="C2" s="4" t="s">
        <v>492</v>
      </c>
      <c r="D2" s="5"/>
      <c r="E2" s="6"/>
      <c r="F2" s="7" t="s">
        <v>11</v>
      </c>
      <c r="G2" s="8"/>
      <c r="H2" s="4"/>
    </row>
    <row r="3" spans="1:8">
      <c r="A3" s="2" t="s">
        <v>493</v>
      </c>
      <c r="B3" s="3" t="s">
        <v>494</v>
      </c>
      <c r="C3" s="4" t="s">
        <v>495</v>
      </c>
      <c r="D3" s="5"/>
      <c r="E3" s="6" t="s">
        <v>11</v>
      </c>
      <c r="F3" s="7" t="s">
        <v>11</v>
      </c>
      <c r="G3" s="8"/>
      <c r="H3" s="4"/>
    </row>
    <row r="4" spans="1:8">
      <c r="A4" s="2" t="s">
        <v>496</v>
      </c>
      <c r="B4" s="3" t="s">
        <v>494</v>
      </c>
      <c r="C4" s="4" t="s">
        <v>497</v>
      </c>
      <c r="D4" s="5"/>
      <c r="E4" s="6" t="s">
        <v>11</v>
      </c>
      <c r="F4" s="7" t="s">
        <v>11</v>
      </c>
      <c r="G4" s="8"/>
      <c r="H4" s="4"/>
    </row>
    <row r="5" spans="1:8">
      <c r="A5" s="2" t="s">
        <v>498</v>
      </c>
      <c r="B5" s="3" t="s">
        <v>494</v>
      </c>
      <c r="C5" s="4" t="s">
        <v>499</v>
      </c>
      <c r="D5" s="5"/>
      <c r="E5" s="6"/>
      <c r="F5" s="7" t="s">
        <v>11</v>
      </c>
      <c r="G5" s="8"/>
      <c r="H5" s="4"/>
    </row>
    <row r="6" spans="1:8">
      <c r="A6" s="2" t="s">
        <v>500</v>
      </c>
      <c r="B6" s="3" t="s">
        <v>494</v>
      </c>
      <c r="C6" s="4" t="s">
        <v>501</v>
      </c>
      <c r="D6" s="5"/>
      <c r="E6" s="6"/>
      <c r="F6" s="7" t="s">
        <v>11</v>
      </c>
      <c r="G6" s="8"/>
      <c r="H6" s="4"/>
    </row>
    <row r="7" spans="1:8">
      <c r="A7" s="2" t="s">
        <v>502</v>
      </c>
      <c r="B7" s="3" t="s">
        <v>494</v>
      </c>
      <c r="C7" s="4" t="s">
        <v>503</v>
      </c>
      <c r="D7" s="5"/>
      <c r="E7" s="6"/>
      <c r="F7" s="7" t="s">
        <v>11</v>
      </c>
      <c r="G7" s="8"/>
      <c r="H7" s="4"/>
    </row>
    <row r="8" spans="1:8">
      <c r="A8" s="2" t="s">
        <v>504</v>
      </c>
      <c r="B8" s="3" t="s">
        <v>494</v>
      </c>
      <c r="C8" s="4" t="s">
        <v>505</v>
      </c>
      <c r="D8" s="5"/>
      <c r="E8" s="6"/>
      <c r="F8" s="7" t="s">
        <v>11</v>
      </c>
      <c r="G8" s="8"/>
      <c r="H8" s="4"/>
    </row>
    <row r="9" spans="1:8">
      <c r="A9" s="2" t="s">
        <v>506</v>
      </c>
      <c r="B9" s="3" t="s">
        <v>507</v>
      </c>
      <c r="C9" s="4" t="s">
        <v>508</v>
      </c>
      <c r="D9" s="5" t="s">
        <v>11</v>
      </c>
      <c r="E9" s="6" t="s">
        <v>11</v>
      </c>
      <c r="F9" s="7" t="s">
        <v>11</v>
      </c>
      <c r="G9" s="8"/>
      <c r="H9" s="4"/>
    </row>
    <row r="10" spans="1:8">
      <c r="A10" s="2" t="s">
        <v>509</v>
      </c>
      <c r="B10" s="3" t="s">
        <v>507</v>
      </c>
      <c r="C10" s="4" t="s">
        <v>510</v>
      </c>
      <c r="D10" s="5" t="s">
        <v>11</v>
      </c>
      <c r="E10" s="6" t="s">
        <v>11</v>
      </c>
      <c r="F10" s="7" t="s">
        <v>11</v>
      </c>
      <c r="G10" s="8"/>
      <c r="H10" s="4"/>
    </row>
    <row r="11" spans="1:8">
      <c r="A11" s="2" t="s">
        <v>511</v>
      </c>
      <c r="B11" s="3" t="s">
        <v>507</v>
      </c>
      <c r="C11" s="4" t="s">
        <v>512</v>
      </c>
      <c r="D11" s="5" t="s">
        <v>11</v>
      </c>
      <c r="E11" s="6" t="s">
        <v>11</v>
      </c>
      <c r="F11" s="7" t="s">
        <v>11</v>
      </c>
      <c r="G11" s="8"/>
      <c r="H11" s="4"/>
    </row>
  </sheetData>
  <conditionalFormatting sqref="G2:G11">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1">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dimension ref="A1:H9"/>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513</v>
      </c>
      <c r="B2" s="3" t="s">
        <v>514</v>
      </c>
      <c r="C2" s="4" t="s">
        <v>515</v>
      </c>
      <c r="D2" s="5" t="s">
        <v>11</v>
      </c>
      <c r="E2" s="6" t="s">
        <v>11</v>
      </c>
      <c r="F2" s="7" t="s">
        <v>11</v>
      </c>
      <c r="G2" s="8"/>
      <c r="H2" s="4"/>
    </row>
    <row r="3" spans="1:8">
      <c r="A3" s="2" t="s">
        <v>516</v>
      </c>
      <c r="B3" s="3" t="s">
        <v>514</v>
      </c>
      <c r="C3" s="4" t="s">
        <v>517</v>
      </c>
      <c r="D3" s="5" t="s">
        <v>11</v>
      </c>
      <c r="E3" s="6" t="s">
        <v>11</v>
      </c>
      <c r="F3" s="7" t="s">
        <v>11</v>
      </c>
      <c r="G3" s="8"/>
      <c r="H3" s="4"/>
    </row>
    <row r="4" spans="1:8">
      <c r="A4" s="2" t="s">
        <v>518</v>
      </c>
      <c r="B4" s="3" t="s">
        <v>514</v>
      </c>
      <c r="C4" s="4" t="s">
        <v>519</v>
      </c>
      <c r="D4" s="5" t="s">
        <v>11</v>
      </c>
      <c r="E4" s="6" t="s">
        <v>11</v>
      </c>
      <c r="F4" s="7" t="s">
        <v>11</v>
      </c>
      <c r="G4" s="8"/>
      <c r="H4" s="4"/>
    </row>
    <row r="5" spans="1:8">
      <c r="A5" s="2" t="s">
        <v>520</v>
      </c>
      <c r="B5" s="3" t="s">
        <v>514</v>
      </c>
      <c r="C5" s="4" t="s">
        <v>521</v>
      </c>
      <c r="D5" s="5" t="s">
        <v>11</v>
      </c>
      <c r="E5" s="6" t="s">
        <v>11</v>
      </c>
      <c r="F5" s="7" t="s">
        <v>11</v>
      </c>
      <c r="G5" s="8"/>
      <c r="H5" s="4"/>
    </row>
    <row r="6" spans="1:8">
      <c r="A6" s="2" t="s">
        <v>522</v>
      </c>
      <c r="B6" s="3" t="s">
        <v>514</v>
      </c>
      <c r="C6" s="4" t="s">
        <v>523</v>
      </c>
      <c r="D6" s="5" t="s">
        <v>11</v>
      </c>
      <c r="E6" s="6" t="s">
        <v>11</v>
      </c>
      <c r="F6" s="7" t="s">
        <v>11</v>
      </c>
      <c r="G6" s="8"/>
      <c r="H6" s="4"/>
    </row>
    <row r="7" spans="1:8">
      <c r="A7" s="2" t="s">
        <v>524</v>
      </c>
      <c r="B7" s="3" t="s">
        <v>514</v>
      </c>
      <c r="C7" s="4" t="s">
        <v>525</v>
      </c>
      <c r="D7" s="5"/>
      <c r="E7" s="6" t="s">
        <v>11</v>
      </c>
      <c r="F7" s="7" t="s">
        <v>11</v>
      </c>
      <c r="G7" s="8"/>
      <c r="H7" s="4"/>
    </row>
    <row r="8" spans="1:8">
      <c r="A8" s="2" t="s">
        <v>526</v>
      </c>
      <c r="B8" s="3" t="s">
        <v>514</v>
      </c>
      <c r="C8" s="4" t="s">
        <v>527</v>
      </c>
      <c r="D8" s="5"/>
      <c r="E8" s="6" t="s">
        <v>11</v>
      </c>
      <c r="F8" s="7" t="s">
        <v>11</v>
      </c>
      <c r="G8" s="8"/>
      <c r="H8" s="4"/>
    </row>
    <row r="9" spans="1:8">
      <c r="A9" s="2" t="s">
        <v>528</v>
      </c>
      <c r="B9" s="3" t="s">
        <v>514</v>
      </c>
      <c r="C9" s="4" t="s">
        <v>529</v>
      </c>
      <c r="D9" s="5"/>
      <c r="E9" s="6" t="s">
        <v>11</v>
      </c>
      <c r="F9" s="7" t="s">
        <v>11</v>
      </c>
      <c r="G9" s="8"/>
      <c r="H9" s="4"/>
    </row>
  </sheetData>
  <conditionalFormatting sqref="G2:G9">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9">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dimension ref="A1:H16"/>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530</v>
      </c>
      <c r="B2" s="3" t="s">
        <v>531</v>
      </c>
      <c r="C2" s="4" t="s">
        <v>532</v>
      </c>
      <c r="D2" s="5" t="s">
        <v>11</v>
      </c>
      <c r="E2" s="6" t="s">
        <v>11</v>
      </c>
      <c r="F2" s="7" t="s">
        <v>11</v>
      </c>
      <c r="G2" s="8"/>
      <c r="H2" s="4"/>
    </row>
    <row r="3" spans="1:8">
      <c r="A3" s="2" t="s">
        <v>533</v>
      </c>
      <c r="B3" s="3" t="s">
        <v>531</v>
      </c>
      <c r="C3" s="4" t="s">
        <v>534</v>
      </c>
      <c r="D3" s="5"/>
      <c r="E3" s="6" t="s">
        <v>11</v>
      </c>
      <c r="F3" s="7" t="s">
        <v>11</v>
      </c>
      <c r="G3" s="8"/>
      <c r="H3" s="4"/>
    </row>
    <row r="4" spans="1:8">
      <c r="A4" s="2" t="s">
        <v>535</v>
      </c>
      <c r="B4" s="3" t="s">
        <v>531</v>
      </c>
      <c r="C4" s="4" t="s">
        <v>536</v>
      </c>
      <c r="D4" s="5"/>
      <c r="E4" s="6" t="s">
        <v>11</v>
      </c>
      <c r="F4" s="7" t="s">
        <v>11</v>
      </c>
      <c r="G4" s="8"/>
      <c r="H4" s="4"/>
    </row>
    <row r="5" spans="1:8">
      <c r="A5" s="2" t="s">
        <v>537</v>
      </c>
      <c r="B5" s="3" t="s">
        <v>538</v>
      </c>
      <c r="C5" s="4" t="s">
        <v>539</v>
      </c>
      <c r="D5" s="5"/>
      <c r="E5" s="6" t="s">
        <v>11</v>
      </c>
      <c r="F5" s="7" t="s">
        <v>11</v>
      </c>
      <c r="G5" s="8"/>
      <c r="H5" s="4"/>
    </row>
    <row r="6" spans="1:8">
      <c r="A6" s="2" t="s">
        <v>540</v>
      </c>
      <c r="B6" s="3" t="s">
        <v>541</v>
      </c>
      <c r="C6" s="4" t="s">
        <v>542</v>
      </c>
      <c r="D6" s="5" t="s">
        <v>11</v>
      </c>
      <c r="E6" s="6" t="s">
        <v>11</v>
      </c>
      <c r="F6" s="7" t="s">
        <v>11</v>
      </c>
      <c r="G6" s="8"/>
      <c r="H6" s="4"/>
    </row>
    <row r="7" spans="1:8">
      <c r="A7" s="2" t="s">
        <v>543</v>
      </c>
      <c r="B7" s="3" t="s">
        <v>541</v>
      </c>
      <c r="C7" s="4" t="s">
        <v>544</v>
      </c>
      <c r="D7" s="5" t="s">
        <v>11</v>
      </c>
      <c r="E7" s="6" t="s">
        <v>11</v>
      </c>
      <c r="F7" s="7" t="s">
        <v>11</v>
      </c>
      <c r="G7" s="8"/>
      <c r="H7" s="4"/>
    </row>
    <row r="8" spans="1:8">
      <c r="A8" s="2" t="s">
        <v>545</v>
      </c>
      <c r="B8" s="3" t="s">
        <v>541</v>
      </c>
      <c r="C8" s="4" t="s">
        <v>546</v>
      </c>
      <c r="D8" s="5" t="s">
        <v>11</v>
      </c>
      <c r="E8" s="6" t="s">
        <v>11</v>
      </c>
      <c r="F8" s="7" t="s">
        <v>11</v>
      </c>
      <c r="G8" s="8"/>
      <c r="H8" s="4"/>
    </row>
    <row r="9" spans="1:8">
      <c r="A9" s="2" t="s">
        <v>547</v>
      </c>
      <c r="B9" s="3" t="s">
        <v>541</v>
      </c>
      <c r="C9" s="4" t="s">
        <v>548</v>
      </c>
      <c r="D9" s="5" t="s">
        <v>11</v>
      </c>
      <c r="E9" s="6" t="s">
        <v>11</v>
      </c>
      <c r="F9" s="7" t="s">
        <v>11</v>
      </c>
      <c r="G9" s="8"/>
      <c r="H9" s="4"/>
    </row>
    <row r="10" spans="1:8">
      <c r="A10" s="2" t="s">
        <v>549</v>
      </c>
      <c r="B10" s="3" t="s">
        <v>541</v>
      </c>
      <c r="C10" s="4" t="s">
        <v>550</v>
      </c>
      <c r="D10" s="5" t="s">
        <v>11</v>
      </c>
      <c r="E10" s="6" t="s">
        <v>11</v>
      </c>
      <c r="F10" s="7" t="s">
        <v>11</v>
      </c>
      <c r="G10" s="8"/>
      <c r="H10" s="4"/>
    </row>
    <row r="11" spans="1:8">
      <c r="A11" s="2" t="s">
        <v>551</v>
      </c>
      <c r="B11" s="3" t="s">
        <v>541</v>
      </c>
      <c r="C11" s="4" t="s">
        <v>552</v>
      </c>
      <c r="D11" s="5"/>
      <c r="E11" s="6" t="s">
        <v>11</v>
      </c>
      <c r="F11" s="7" t="s">
        <v>11</v>
      </c>
      <c r="G11" s="8"/>
      <c r="H11" s="4"/>
    </row>
    <row r="12" spans="1:8">
      <c r="A12" s="2" t="s">
        <v>553</v>
      </c>
      <c r="B12" s="3" t="s">
        <v>554</v>
      </c>
      <c r="C12" s="4" t="s">
        <v>555</v>
      </c>
      <c r="D12" s="5" t="s">
        <v>11</v>
      </c>
      <c r="E12" s="6" t="s">
        <v>11</v>
      </c>
      <c r="F12" s="7" t="s">
        <v>11</v>
      </c>
      <c r="G12" s="8"/>
      <c r="H12" s="4"/>
    </row>
    <row r="13" spans="1:8">
      <c r="A13" s="2" t="s">
        <v>556</v>
      </c>
      <c r="B13" s="3" t="s">
        <v>554</v>
      </c>
      <c r="C13" s="4" t="s">
        <v>557</v>
      </c>
      <c r="D13" s="5" t="s">
        <v>11</v>
      </c>
      <c r="E13" s="6" t="s">
        <v>11</v>
      </c>
      <c r="F13" s="7" t="s">
        <v>11</v>
      </c>
      <c r="G13" s="8"/>
      <c r="H13" s="4"/>
    </row>
    <row r="14" spans="1:8">
      <c r="A14" s="2" t="s">
        <v>558</v>
      </c>
      <c r="B14" s="3" t="s">
        <v>559</v>
      </c>
      <c r="C14" s="4" t="s">
        <v>560</v>
      </c>
      <c r="D14" s="5" t="s">
        <v>11</v>
      </c>
      <c r="E14" s="6" t="s">
        <v>11</v>
      </c>
      <c r="F14" s="7" t="s">
        <v>11</v>
      </c>
      <c r="G14" s="8"/>
      <c r="H14" s="4"/>
    </row>
    <row r="15" spans="1:8">
      <c r="A15" s="2" t="s">
        <v>561</v>
      </c>
      <c r="B15" s="3" t="s">
        <v>559</v>
      </c>
      <c r="C15" s="4" t="s">
        <v>562</v>
      </c>
      <c r="D15" s="5" t="s">
        <v>11</v>
      </c>
      <c r="E15" s="6" t="s">
        <v>11</v>
      </c>
      <c r="F15" s="7" t="s">
        <v>11</v>
      </c>
      <c r="G15" s="8"/>
      <c r="H15" s="4"/>
    </row>
    <row r="16" spans="1:8">
      <c r="A16" s="2" t="s">
        <v>563</v>
      </c>
      <c r="B16" s="3" t="s">
        <v>564</v>
      </c>
      <c r="C16" s="4" t="s">
        <v>565</v>
      </c>
      <c r="D16" s="5" t="s">
        <v>11</v>
      </c>
      <c r="E16" s="6" t="s">
        <v>11</v>
      </c>
      <c r="F16" s="7" t="s">
        <v>11</v>
      </c>
      <c r="G16" s="8"/>
      <c r="H16" s="4"/>
    </row>
  </sheetData>
  <conditionalFormatting sqref="G2:G16">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6">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dimension ref="A1:H16"/>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566</v>
      </c>
      <c r="B2" s="3" t="s">
        <v>567</v>
      </c>
      <c r="C2" s="4" t="s">
        <v>568</v>
      </c>
      <c r="D2" s="5" t="s">
        <v>11</v>
      </c>
      <c r="E2" s="6" t="s">
        <v>11</v>
      </c>
      <c r="F2" s="7" t="s">
        <v>11</v>
      </c>
      <c r="G2" s="8"/>
      <c r="H2" s="4"/>
    </row>
    <row r="3" spans="1:8">
      <c r="A3" s="2" t="s">
        <v>569</v>
      </c>
      <c r="B3" s="3" t="s">
        <v>567</v>
      </c>
      <c r="C3" s="4" t="s">
        <v>570</v>
      </c>
      <c r="D3" s="5"/>
      <c r="E3" s="6"/>
      <c r="F3" s="7"/>
      <c r="G3" s="8"/>
      <c r="H3" s="4"/>
    </row>
    <row r="4" spans="1:8">
      <c r="A4" s="2" t="s">
        <v>571</v>
      </c>
      <c r="B4" s="3" t="s">
        <v>567</v>
      </c>
      <c r="C4" s="4" t="s">
        <v>572</v>
      </c>
      <c r="D4" s="5" t="s">
        <v>11</v>
      </c>
      <c r="E4" s="6" t="s">
        <v>11</v>
      </c>
      <c r="F4" s="7" t="s">
        <v>11</v>
      </c>
      <c r="G4" s="8"/>
      <c r="H4" s="4"/>
    </row>
    <row r="5" spans="1:8">
      <c r="A5" s="2" t="s">
        <v>573</v>
      </c>
      <c r="B5" s="3" t="s">
        <v>567</v>
      </c>
      <c r="C5" s="4" t="s">
        <v>574</v>
      </c>
      <c r="D5" s="5"/>
      <c r="E5" s="6" t="s">
        <v>11</v>
      </c>
      <c r="F5" s="7" t="s">
        <v>11</v>
      </c>
      <c r="G5" s="8"/>
      <c r="H5" s="4"/>
    </row>
    <row r="6" spans="1:8">
      <c r="A6" s="2" t="s">
        <v>575</v>
      </c>
      <c r="B6" s="3" t="s">
        <v>567</v>
      </c>
      <c r="C6" s="4" t="s">
        <v>576</v>
      </c>
      <c r="D6" s="5"/>
      <c r="E6" s="6" t="s">
        <v>11</v>
      </c>
      <c r="F6" s="7" t="s">
        <v>11</v>
      </c>
      <c r="G6" s="8"/>
      <c r="H6" s="4"/>
    </row>
    <row r="7" spans="1:8">
      <c r="A7" s="2" t="s">
        <v>577</v>
      </c>
      <c r="B7" s="3" t="s">
        <v>578</v>
      </c>
      <c r="C7" s="4" t="s">
        <v>579</v>
      </c>
      <c r="D7" s="5" t="s">
        <v>11</v>
      </c>
      <c r="E7" s="6" t="s">
        <v>11</v>
      </c>
      <c r="F7" s="7" t="s">
        <v>11</v>
      </c>
      <c r="G7" s="8"/>
      <c r="H7" s="4"/>
    </row>
    <row r="8" spans="1:8">
      <c r="A8" s="2" t="s">
        <v>580</v>
      </c>
      <c r="B8" s="3" t="s">
        <v>578</v>
      </c>
      <c r="C8" s="4" t="s">
        <v>581</v>
      </c>
      <c r="D8" s="5" t="s">
        <v>11</v>
      </c>
      <c r="E8" s="6" t="s">
        <v>11</v>
      </c>
      <c r="F8" s="7" t="s">
        <v>11</v>
      </c>
      <c r="G8" s="8"/>
      <c r="H8" s="4"/>
    </row>
    <row r="9" spans="1:8">
      <c r="A9" s="2" t="s">
        <v>582</v>
      </c>
      <c r="B9" s="3" t="s">
        <v>578</v>
      </c>
      <c r="C9" s="4" t="s">
        <v>583</v>
      </c>
      <c r="D9" s="5" t="s">
        <v>11</v>
      </c>
      <c r="E9" s="6" t="s">
        <v>11</v>
      </c>
      <c r="F9" s="7" t="s">
        <v>11</v>
      </c>
      <c r="G9" s="8"/>
      <c r="H9" s="4"/>
    </row>
    <row r="10" spans="1:8">
      <c r="A10" s="2" t="s">
        <v>584</v>
      </c>
      <c r="B10" s="3" t="s">
        <v>578</v>
      </c>
      <c r="C10" s="4" t="s">
        <v>585</v>
      </c>
      <c r="D10" s="5"/>
      <c r="E10" s="6"/>
      <c r="F10" s="7"/>
      <c r="G10" s="8"/>
      <c r="H10" s="4"/>
    </row>
    <row r="11" spans="1:8">
      <c r="A11" s="2" t="s">
        <v>586</v>
      </c>
      <c r="B11" s="3" t="s">
        <v>578</v>
      </c>
      <c r="C11" s="4" t="s">
        <v>587</v>
      </c>
      <c r="D11" s="5"/>
      <c r="E11" s="6" t="s">
        <v>11</v>
      </c>
      <c r="F11" s="7" t="s">
        <v>11</v>
      </c>
      <c r="G11" s="8"/>
      <c r="H11" s="4"/>
    </row>
    <row r="12" spans="1:8">
      <c r="A12" s="2" t="s">
        <v>588</v>
      </c>
      <c r="B12" s="3" t="s">
        <v>578</v>
      </c>
      <c r="C12" s="4" t="s">
        <v>589</v>
      </c>
      <c r="D12" s="5"/>
      <c r="E12" s="6" t="s">
        <v>11</v>
      </c>
      <c r="F12" s="7" t="s">
        <v>11</v>
      </c>
      <c r="G12" s="8"/>
      <c r="H12" s="4"/>
    </row>
    <row r="13" spans="1:8">
      <c r="A13" s="2" t="s">
        <v>590</v>
      </c>
      <c r="B13" s="3" t="s">
        <v>591</v>
      </c>
      <c r="C13" s="4" t="s">
        <v>592</v>
      </c>
      <c r="D13" s="5" t="s">
        <v>11</v>
      </c>
      <c r="E13" s="6" t="s">
        <v>11</v>
      </c>
      <c r="F13" s="7" t="s">
        <v>11</v>
      </c>
      <c r="G13" s="8"/>
      <c r="H13" s="4"/>
    </row>
    <row r="14" spans="1:8">
      <c r="A14" s="2" t="s">
        <v>593</v>
      </c>
      <c r="B14" s="3" t="s">
        <v>591</v>
      </c>
      <c r="C14" s="4" t="s">
        <v>594</v>
      </c>
      <c r="D14" s="5"/>
      <c r="E14" s="6" t="s">
        <v>11</v>
      </c>
      <c r="F14" s="7" t="s">
        <v>11</v>
      </c>
      <c r="G14" s="8"/>
      <c r="H14" s="4"/>
    </row>
    <row r="15" spans="1:8">
      <c r="A15" s="2" t="s">
        <v>595</v>
      </c>
      <c r="B15" s="3" t="s">
        <v>596</v>
      </c>
      <c r="C15" s="4" t="s">
        <v>597</v>
      </c>
      <c r="D15" s="5"/>
      <c r="E15" s="6" t="s">
        <v>11</v>
      </c>
      <c r="F15" s="7" t="s">
        <v>11</v>
      </c>
      <c r="G15" s="8"/>
      <c r="H15" s="4"/>
    </row>
    <row r="16" spans="1:8">
      <c r="A16" s="2" t="s">
        <v>598</v>
      </c>
      <c r="B16" s="3" t="s">
        <v>596</v>
      </c>
      <c r="C16" s="4" t="s">
        <v>599</v>
      </c>
      <c r="D16" s="5"/>
      <c r="E16" s="6" t="s">
        <v>11</v>
      </c>
      <c r="F16" s="7" t="s">
        <v>11</v>
      </c>
      <c r="G16" s="8"/>
      <c r="H16" s="4"/>
    </row>
  </sheetData>
  <conditionalFormatting sqref="G2:G16">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6">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dimension ref="A1:H26"/>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600</v>
      </c>
      <c r="B2" s="3" t="s">
        <v>601</v>
      </c>
      <c r="C2" s="4" t="s">
        <v>602</v>
      </c>
      <c r="D2" s="5"/>
      <c r="E2" s="6" t="s">
        <v>11</v>
      </c>
      <c r="F2" s="7" t="s">
        <v>11</v>
      </c>
      <c r="G2" s="8"/>
      <c r="H2" s="4"/>
    </row>
    <row r="3" spans="1:8">
      <c r="A3" s="2" t="s">
        <v>603</v>
      </c>
      <c r="B3" s="3" t="s">
        <v>601</v>
      </c>
      <c r="C3" s="4" t="s">
        <v>604</v>
      </c>
      <c r="D3" s="5"/>
      <c r="E3" s="6" t="s">
        <v>11</v>
      </c>
      <c r="F3" s="7" t="s">
        <v>11</v>
      </c>
      <c r="G3" s="8"/>
      <c r="H3" s="4"/>
    </row>
    <row r="4" spans="1:8">
      <c r="A4" s="2" t="s">
        <v>605</v>
      </c>
      <c r="B4" s="3" t="s">
        <v>601</v>
      </c>
      <c r="C4" s="4" t="s">
        <v>606</v>
      </c>
      <c r="D4" s="5"/>
      <c r="E4" s="6" t="s">
        <v>11</v>
      </c>
      <c r="F4" s="7" t="s">
        <v>11</v>
      </c>
      <c r="G4" s="8"/>
      <c r="H4" s="4"/>
    </row>
    <row r="5" spans="1:8">
      <c r="A5" s="2" t="s">
        <v>607</v>
      </c>
      <c r="B5" s="3" t="s">
        <v>601</v>
      </c>
      <c r="C5" s="4" t="s">
        <v>608</v>
      </c>
      <c r="D5" s="5"/>
      <c r="E5" s="6" t="s">
        <v>11</v>
      </c>
      <c r="F5" s="7" t="s">
        <v>11</v>
      </c>
      <c r="G5" s="8"/>
      <c r="H5" s="4"/>
    </row>
    <row r="6" spans="1:8">
      <c r="A6" s="2" t="s">
        <v>609</v>
      </c>
      <c r="B6" s="3" t="s">
        <v>601</v>
      </c>
      <c r="C6" s="4" t="s">
        <v>610</v>
      </c>
      <c r="D6" s="5"/>
      <c r="E6" s="6"/>
      <c r="F6" s="7" t="s">
        <v>11</v>
      </c>
      <c r="G6" s="8"/>
      <c r="H6" s="4"/>
    </row>
    <row r="7" spans="1:8">
      <c r="A7" s="2" t="s">
        <v>611</v>
      </c>
      <c r="B7" s="3" t="s">
        <v>612</v>
      </c>
      <c r="C7" s="4" t="s">
        <v>613</v>
      </c>
      <c r="D7" s="5" t="s">
        <v>11</v>
      </c>
      <c r="E7" s="6" t="s">
        <v>11</v>
      </c>
      <c r="F7" s="7" t="s">
        <v>11</v>
      </c>
      <c r="G7" s="8"/>
      <c r="H7" s="4"/>
    </row>
    <row r="8" spans="1:8">
      <c r="A8" s="2" t="s">
        <v>614</v>
      </c>
      <c r="B8" s="3" t="s">
        <v>612</v>
      </c>
      <c r="C8" s="4" t="s">
        <v>615</v>
      </c>
      <c r="D8" s="5" t="s">
        <v>11</v>
      </c>
      <c r="E8" s="6" t="s">
        <v>11</v>
      </c>
      <c r="F8" s="7" t="s">
        <v>11</v>
      </c>
      <c r="G8" s="8"/>
      <c r="H8" s="4"/>
    </row>
    <row r="9" spans="1:8">
      <c r="A9" s="2" t="s">
        <v>616</v>
      </c>
      <c r="B9" s="3" t="s">
        <v>612</v>
      </c>
      <c r="C9" s="4" t="s">
        <v>617</v>
      </c>
      <c r="D9" s="5" t="s">
        <v>11</v>
      </c>
      <c r="E9" s="6" t="s">
        <v>11</v>
      </c>
      <c r="F9" s="7" t="s">
        <v>11</v>
      </c>
      <c r="G9" s="8"/>
      <c r="H9" s="4"/>
    </row>
    <row r="10" spans="1:8">
      <c r="A10" s="2" t="s">
        <v>618</v>
      </c>
      <c r="B10" s="3" t="s">
        <v>612</v>
      </c>
      <c r="C10" s="4" t="s">
        <v>619</v>
      </c>
      <c r="D10" s="5"/>
      <c r="E10" s="6" t="s">
        <v>11</v>
      </c>
      <c r="F10" s="7" t="s">
        <v>11</v>
      </c>
      <c r="G10" s="8"/>
      <c r="H10" s="4"/>
    </row>
    <row r="11" spans="1:8">
      <c r="A11" s="2" t="s">
        <v>620</v>
      </c>
      <c r="B11" s="3" t="s">
        <v>612</v>
      </c>
      <c r="C11" s="4" t="s">
        <v>621</v>
      </c>
      <c r="D11" s="5"/>
      <c r="E11" s="6" t="s">
        <v>11</v>
      </c>
      <c r="F11" s="7" t="s">
        <v>11</v>
      </c>
      <c r="G11" s="8"/>
      <c r="H11" s="4"/>
    </row>
    <row r="12" spans="1:8">
      <c r="A12" s="2" t="s">
        <v>622</v>
      </c>
      <c r="B12" s="3" t="s">
        <v>612</v>
      </c>
      <c r="C12" s="4" t="s">
        <v>623</v>
      </c>
      <c r="D12" s="5"/>
      <c r="E12" s="6" t="s">
        <v>11</v>
      </c>
      <c r="F12" s="7" t="s">
        <v>11</v>
      </c>
      <c r="G12" s="8"/>
      <c r="H12" s="4"/>
    </row>
    <row r="13" spans="1:8">
      <c r="A13" s="2" t="s">
        <v>624</v>
      </c>
      <c r="B13" s="3" t="s">
        <v>625</v>
      </c>
      <c r="C13" s="4" t="s">
        <v>626</v>
      </c>
      <c r="D13" s="5"/>
      <c r="E13" s="6"/>
      <c r="F13" s="7"/>
      <c r="G13" s="8"/>
      <c r="H13" s="4"/>
    </row>
    <row r="14" spans="1:8">
      <c r="A14" s="2" t="s">
        <v>627</v>
      </c>
      <c r="B14" s="3" t="s">
        <v>625</v>
      </c>
      <c r="C14" s="4" t="s">
        <v>628</v>
      </c>
      <c r="D14" s="5" t="s">
        <v>11</v>
      </c>
      <c r="E14" s="6" t="s">
        <v>11</v>
      </c>
      <c r="F14" s="7" t="s">
        <v>11</v>
      </c>
      <c r="G14" s="8"/>
      <c r="H14" s="4"/>
    </row>
    <row r="15" spans="1:8">
      <c r="A15" s="2" t="s">
        <v>629</v>
      </c>
      <c r="B15" s="3" t="s">
        <v>625</v>
      </c>
      <c r="C15" s="4" t="s">
        <v>630</v>
      </c>
      <c r="D15" s="5" t="s">
        <v>11</v>
      </c>
      <c r="E15" s="6" t="s">
        <v>11</v>
      </c>
      <c r="F15" s="7" t="s">
        <v>11</v>
      </c>
      <c r="G15" s="8"/>
      <c r="H15" s="4"/>
    </row>
    <row r="16" spans="1:8">
      <c r="A16" s="2" t="s">
        <v>631</v>
      </c>
      <c r="B16" s="3" t="s">
        <v>632</v>
      </c>
      <c r="C16" s="4" t="s">
        <v>633</v>
      </c>
      <c r="D16" s="5" t="s">
        <v>11</v>
      </c>
      <c r="E16" s="6" t="s">
        <v>11</v>
      </c>
      <c r="F16" s="7" t="s">
        <v>11</v>
      </c>
      <c r="G16" s="8"/>
      <c r="H16" s="4"/>
    </row>
    <row r="17" spans="1:8">
      <c r="A17" s="2" t="s">
        <v>634</v>
      </c>
      <c r="B17" s="3" t="s">
        <v>632</v>
      </c>
      <c r="C17" s="4" t="s">
        <v>635</v>
      </c>
      <c r="D17" s="5" t="s">
        <v>11</v>
      </c>
      <c r="E17" s="6" t="s">
        <v>11</v>
      </c>
      <c r="F17" s="7" t="s">
        <v>11</v>
      </c>
      <c r="G17" s="8"/>
      <c r="H17" s="4"/>
    </row>
    <row r="18" spans="1:8">
      <c r="A18" s="2" t="s">
        <v>636</v>
      </c>
      <c r="B18" s="3" t="s">
        <v>632</v>
      </c>
      <c r="C18" s="4" t="s">
        <v>637</v>
      </c>
      <c r="D18" s="5" t="s">
        <v>11</v>
      </c>
      <c r="E18" s="6" t="s">
        <v>11</v>
      </c>
      <c r="F18" s="7" t="s">
        <v>11</v>
      </c>
      <c r="G18" s="8"/>
      <c r="H18" s="4"/>
    </row>
    <row r="19" spans="1:8">
      <c r="A19" s="2" t="s">
        <v>638</v>
      </c>
      <c r="B19" s="3" t="s">
        <v>632</v>
      </c>
      <c r="C19" s="4" t="s">
        <v>639</v>
      </c>
      <c r="D19" s="5" t="s">
        <v>11</v>
      </c>
      <c r="E19" s="6" t="s">
        <v>11</v>
      </c>
      <c r="F19" s="7" t="s">
        <v>11</v>
      </c>
      <c r="G19" s="8"/>
      <c r="H19" s="4"/>
    </row>
    <row r="20" spans="1:8">
      <c r="A20" s="2" t="s">
        <v>640</v>
      </c>
      <c r="B20" s="3" t="s">
        <v>632</v>
      </c>
      <c r="C20" s="4" t="s">
        <v>641</v>
      </c>
      <c r="D20" s="5" t="s">
        <v>11</v>
      </c>
      <c r="E20" s="6" t="s">
        <v>11</v>
      </c>
      <c r="F20" s="7" t="s">
        <v>11</v>
      </c>
      <c r="G20" s="8"/>
      <c r="H20" s="4"/>
    </row>
    <row r="21" spans="1:8">
      <c r="A21" s="2" t="s">
        <v>642</v>
      </c>
      <c r="B21" s="3" t="s">
        <v>632</v>
      </c>
      <c r="C21" s="4" t="s">
        <v>643</v>
      </c>
      <c r="D21" s="5" t="s">
        <v>11</v>
      </c>
      <c r="E21" s="6" t="s">
        <v>11</v>
      </c>
      <c r="F21" s="7" t="s">
        <v>11</v>
      </c>
      <c r="G21" s="8"/>
      <c r="H21" s="4"/>
    </row>
    <row r="22" spans="1:8">
      <c r="A22" s="2" t="s">
        <v>644</v>
      </c>
      <c r="B22" s="3" t="s">
        <v>632</v>
      </c>
      <c r="C22" s="4" t="s">
        <v>645</v>
      </c>
      <c r="D22" s="5" t="s">
        <v>11</v>
      </c>
      <c r="E22" s="6" t="s">
        <v>11</v>
      </c>
      <c r="F22" s="7" t="s">
        <v>11</v>
      </c>
      <c r="G22" s="8"/>
      <c r="H22" s="4"/>
    </row>
    <row r="23" spans="1:8">
      <c r="A23" s="2" t="s">
        <v>646</v>
      </c>
      <c r="B23" s="3" t="s">
        <v>647</v>
      </c>
      <c r="C23" s="4" t="s">
        <v>648</v>
      </c>
      <c r="D23" s="5" t="s">
        <v>11</v>
      </c>
      <c r="E23" s="6" t="s">
        <v>11</v>
      </c>
      <c r="F23" s="7" t="s">
        <v>11</v>
      </c>
      <c r="G23" s="8"/>
      <c r="H23" s="4"/>
    </row>
    <row r="24" spans="1:8">
      <c r="A24" s="2" t="s">
        <v>649</v>
      </c>
      <c r="B24" s="3" t="s">
        <v>647</v>
      </c>
      <c r="C24" s="4" t="s">
        <v>650</v>
      </c>
      <c r="D24" s="5" t="s">
        <v>11</v>
      </c>
      <c r="E24" s="6" t="s">
        <v>11</v>
      </c>
      <c r="F24" s="7" t="s">
        <v>11</v>
      </c>
      <c r="G24" s="8"/>
      <c r="H24" s="4"/>
    </row>
    <row r="25" spans="1:8">
      <c r="A25" s="2" t="s">
        <v>651</v>
      </c>
      <c r="B25" s="3" t="s">
        <v>647</v>
      </c>
      <c r="C25" s="4" t="s">
        <v>652</v>
      </c>
      <c r="D25" s="5" t="s">
        <v>11</v>
      </c>
      <c r="E25" s="6" t="s">
        <v>11</v>
      </c>
      <c r="F25" s="7" t="s">
        <v>11</v>
      </c>
      <c r="G25" s="8"/>
      <c r="H25" s="4"/>
    </row>
    <row r="26" spans="1:8">
      <c r="A26" s="2" t="s">
        <v>653</v>
      </c>
      <c r="B26" s="3" t="s">
        <v>647</v>
      </c>
      <c r="C26" s="4" t="s">
        <v>654</v>
      </c>
      <c r="D26" s="5"/>
      <c r="E26" s="6" t="s">
        <v>11</v>
      </c>
      <c r="F26" s="7" t="s">
        <v>11</v>
      </c>
      <c r="G26" s="8"/>
      <c r="H26" s="4"/>
    </row>
  </sheetData>
  <conditionalFormatting sqref="G2:G26">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26">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 type="list" allowBlank="1" showInputMessage="1" showErrorMessage="1" errorTitle="Invalid Input" error="Invalid input. Choose Yes, No, Partially or Not applicable." sqref="G22">
      <formula1>"Yes,No,Partially,Not applicable"</formula1>
    </dataValidation>
    <dataValidation type="list" allowBlank="1" showInputMessage="1" showErrorMessage="1" errorTitle="Invalid Input" error="Invalid input. Choose Yes, No, Partially or Not applicable." sqref="G23">
      <formula1>"Yes,No,Partially,Not applicable"</formula1>
    </dataValidation>
    <dataValidation type="list" allowBlank="1" showInputMessage="1" showErrorMessage="1" errorTitle="Invalid Input" error="Invalid input. Choose Yes, No, Partially or Not applicable." sqref="G24">
      <formula1>"Yes,No,Partially,Not applicable"</formula1>
    </dataValidation>
    <dataValidation type="list" allowBlank="1" showInputMessage="1" showErrorMessage="1" errorTitle="Invalid Input" error="Invalid input. Choose Yes, No, Partially or Not applicable." sqref="G25">
      <formula1>"Yes,No,Partially,Not applicable"</formula1>
    </dataValidation>
    <dataValidation type="list" allowBlank="1" showInputMessage="1" showErrorMessage="1" errorTitle="Invalid Input" error="Invalid input. Choose Yes, No, Partially or Not applicable." sqref="G26">
      <formula1>"Yes,No,Partially,Not applicable"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V1 Architecture, Design and Th</vt:lpstr>
      <vt:lpstr>V2 Authentication</vt:lpstr>
      <vt:lpstr>V3 Session Management</vt:lpstr>
      <vt:lpstr>V4 Access Control</vt:lpstr>
      <vt:lpstr>V5 Validation, Sanitization an</vt:lpstr>
      <vt:lpstr>V6 Stored Cryptography</vt:lpstr>
      <vt:lpstr>V7 Error Handling and Logging</vt:lpstr>
      <vt:lpstr>V8 Data Protection</vt:lpstr>
      <vt:lpstr>V9 Communication</vt:lpstr>
      <vt:lpstr>V10 Malicious Code</vt:lpstr>
      <vt:lpstr>V11 Business Logic</vt:lpstr>
      <vt:lpstr>V12 Files and Resources</vt:lpstr>
      <vt:lpstr>V13 API and Web Service</vt:lpstr>
      <vt:lpstr>V14 Configuration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2026-02-02T10:03:23Z</dcterms:created>
  <dcterms:modified xsi:type="dcterms:W3CDTF">2026-02-02T10:03:23Z</dcterms:modified>
</cp:coreProperties>
</file>